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Lean финмодель 24м" sheetId="15" state="visible" r:id="rId15"/>
    <sheet name="16. Маркетинг 2026 (clean)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  <xf numFmtId="0" fontId="6" fillId="6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3" fontId="3" fillId="2" borderId="0" pivotButton="0" quotePrefix="0" xfId="0"/>
    <xf numFmtId="165" fontId="3" fillId="2" borderId="0" pivotButton="0" quotePrefix="0" xfId="0"/>
    <xf numFmtId="167" fontId="5" fillId="3" borderId="0" pivotButton="0" quotePrefix="0" xfId="0"/>
    <xf numFmtId="164" fontId="6" fillId="6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6" fillId="5" borderId="0" pivotButton="0" quotePrefix="0" xfId="0"/>
    <xf numFmtId="167" fontId="0" fillId="0" borderId="0" pivotButton="0" quotePrefix="0" xfId="0"/>
    <xf numFmtId="164" fontId="3" fillId="2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15" t="n"/>
      <c r="B8" s="15" t="n"/>
      <c r="C8" s="15" t="n"/>
    </row>
    <row r="9">
      <c r="A9" s="22" t="inlineStr">
        <is>
          <t>ИТОГО ПОСТОЯННЫХ</t>
        </is>
      </c>
      <c r="B9" s="45">
        <f>B7</f>
        <v/>
      </c>
      <c r="C9" s="15" t="n"/>
    </row>
    <row r="11">
      <c r="A11" s="3" t="inlineStr">
        <is>
          <t>ПОЧЕМУ ТАК МАЛО ПОСТОЯННЫХ?</t>
        </is>
      </c>
    </row>
    <row r="12" ht="22" customHeight="1">
      <c r="A12" s="6" t="inlineStr">
        <is>
          <t>• Разработку делают founders сами — без зарплат. AI-инструменты делают это реальным даже для одного человека.</t>
        </is>
      </c>
    </row>
    <row r="13" ht="22" customHeight="1">
      <c r="A13" s="6" t="inlineStr">
        <is>
          <t>• Серверум и домен клиента — в стоимости подписки (variable per customer), не наши fixed.</t>
        </is>
      </c>
    </row>
    <row r="14" ht="22" customHeight="1">
      <c r="A14" s="6" t="inlineStr">
        <is>
          <t>• Маркетинг с M2 (после запуска): 100 → 250 К/мес ramp. Если clipboard окупает себя — масштабируем.</t>
        </is>
      </c>
    </row>
    <row r="15" ht="22" customHeight="1">
      <c r="A15" s="6" t="inlineStr">
        <is>
          <t>• Юрист — единственная обязательная статья (договоры, оферта, документы по 152-ФЗ).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24 месяца · founders-only без зарплат + инфраструктура для роста</t>
        </is>
      </c>
    </row>
    <row r="2" ht="32" customHeight="1">
      <c r="A2" s="2" t="inlineStr">
        <is>
          <t>Юрист 30к/мес · маркетинг 100→300к · инфра наша (DB+API+backups+мониторинг) растёт с базой клиентов 8к→380к/мес. Серверум за клиентский сайт уже в variable COGS.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  <c r="T4" s="55" t="inlineStr">
        <is>
          <t>M19</t>
        </is>
      </c>
      <c r="U4" s="55" t="inlineStr">
        <is>
          <t>M20</t>
        </is>
      </c>
      <c r="V4" s="55" t="inlineStr">
        <is>
          <t>M21</t>
        </is>
      </c>
      <c r="W4" s="55" t="inlineStr">
        <is>
          <t>M22</t>
        </is>
      </c>
      <c r="X4" s="55" t="inlineStr">
        <is>
          <t>M23</t>
        </is>
      </c>
      <c r="Y4" s="55" t="inlineStr">
        <is>
          <t>M24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  <c r="T5" s="56" t="n">
        <v>4400</v>
      </c>
      <c r="U5" s="56" t="n">
        <v>4800</v>
      </c>
      <c r="V5" s="56" t="n">
        <v>5200</v>
      </c>
      <c r="W5" s="56" t="n">
        <v>5550</v>
      </c>
      <c r="X5" s="56" t="n">
        <v>5900</v>
      </c>
      <c r="Y5" s="56" t="n">
        <v>6250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  <c r="T6" s="57" t="n">
        <v>4080</v>
      </c>
      <c r="U6" s="57" t="n">
        <v>4100</v>
      </c>
      <c r="V6" s="57" t="n">
        <v>4120</v>
      </c>
      <c r="W6" s="57" t="n">
        <v>4140</v>
      </c>
      <c r="X6" s="57" t="n">
        <v>4150</v>
      </c>
      <c r="Y6" s="57" t="n">
        <v>4160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  <c r="T7" s="49">
        <f>T5*T6</f>
        <v/>
      </c>
      <c r="U7" s="49">
        <f>U5*U6</f>
        <v/>
      </c>
      <c r="V7" s="49">
        <f>V5*V6</f>
        <v/>
      </c>
      <c r="W7" s="49">
        <f>W5*W6</f>
        <v/>
      </c>
      <c r="X7" s="49">
        <f>X5*X6</f>
        <v/>
      </c>
      <c r="Y7" s="49">
        <f>Y5*Y6</f>
        <v/>
      </c>
    </row>
    <row r="8">
      <c r="A8" s="4" t="inlineStr">
        <is>
          <t>Маржа %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  <c r="T8" s="58" t="n">
        <v>0.34</v>
      </c>
      <c r="U8" s="58" t="n">
        <v>0.34</v>
      </c>
      <c r="V8" s="58" t="n">
        <v>0.34</v>
      </c>
      <c r="W8" s="58" t="n">
        <v>0.34</v>
      </c>
      <c r="X8" s="58" t="n">
        <v>0.34</v>
      </c>
      <c r="Y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  <c r="T9" s="53">
        <f>T7*T8</f>
        <v/>
      </c>
      <c r="U9" s="53">
        <f>U7*U8</f>
        <v/>
      </c>
      <c r="V9" s="53">
        <f>V7*V8</f>
        <v/>
      </c>
      <c r="W9" s="53">
        <f>W7*W8</f>
        <v/>
      </c>
      <c r="X9" s="53">
        <f>X7*X8</f>
        <v/>
      </c>
      <c r="Y9" s="53">
        <f>Y7*Y8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  <c r="T11" s="43" t="n">
        <v>30000</v>
      </c>
      <c r="U11" s="43" t="n">
        <v>30000</v>
      </c>
      <c r="V11" s="43" t="n">
        <v>30000</v>
      </c>
      <c r="W11" s="43" t="n">
        <v>30000</v>
      </c>
      <c r="X11" s="43" t="n">
        <v>30000</v>
      </c>
      <c r="Y11" s="43" t="n">
        <v>30000</v>
      </c>
    </row>
    <row r="12">
      <c r="A12" s="4" t="inlineStr">
        <is>
          <t>OPEX: Маркетинг и реклама, ₽</t>
        </is>
      </c>
      <c r="B12" s="43" t="n">
        <v>0</v>
      </c>
      <c r="C12" s="59" t="n">
        <v>100000</v>
      </c>
      <c r="D12" s="59" t="n">
        <v>100000</v>
      </c>
      <c r="E12" s="59" t="n">
        <v>100000</v>
      </c>
      <c r="F12" s="59" t="n">
        <v>100000</v>
      </c>
      <c r="G12" s="59" t="n">
        <v>150000</v>
      </c>
      <c r="H12" s="59" t="n">
        <v>150000</v>
      </c>
      <c r="I12" s="59" t="n">
        <v>150000</v>
      </c>
      <c r="J12" s="59" t="n">
        <v>150000</v>
      </c>
      <c r="K12" s="59" t="n">
        <v>200000</v>
      </c>
      <c r="L12" s="59" t="n">
        <v>200000</v>
      </c>
      <c r="M12" s="59" t="n">
        <v>200000</v>
      </c>
      <c r="N12" s="59" t="n">
        <v>200000</v>
      </c>
      <c r="O12" s="59" t="n">
        <v>200000</v>
      </c>
      <c r="P12" s="59" t="n">
        <v>250000</v>
      </c>
      <c r="Q12" s="59" t="n">
        <v>250000</v>
      </c>
      <c r="R12" s="59" t="n">
        <v>250000</v>
      </c>
      <c r="S12" s="59" t="n">
        <v>250000</v>
      </c>
      <c r="T12" s="59" t="n">
        <v>250000</v>
      </c>
      <c r="U12" s="59" t="n">
        <v>250000</v>
      </c>
      <c r="V12" s="59" t="n">
        <v>300000</v>
      </c>
      <c r="W12" s="59" t="n">
        <v>300000</v>
      </c>
      <c r="X12" s="59" t="n">
        <v>300000</v>
      </c>
      <c r="Y12" s="59" t="n">
        <v>300000</v>
      </c>
    </row>
    <row r="13">
      <c r="A13" s="4" t="inlineStr">
        <is>
          <t>OPEX: Инфра (наши сервера/БД/бэкапы), ₽</t>
        </is>
      </c>
      <c r="B13" s="59" t="n">
        <v>8000</v>
      </c>
      <c r="C13" s="59" t="n">
        <v>10000</v>
      </c>
      <c r="D13" s="59" t="n">
        <v>15000</v>
      </c>
      <c r="E13" s="59" t="n">
        <v>20000</v>
      </c>
      <c r="F13" s="59" t="n">
        <v>25000</v>
      </c>
      <c r="G13" s="59" t="n">
        <v>35000</v>
      </c>
      <c r="H13" s="59" t="n">
        <v>45000</v>
      </c>
      <c r="I13" s="59" t="n">
        <v>55000</v>
      </c>
      <c r="J13" s="59" t="n">
        <v>65000</v>
      </c>
      <c r="K13" s="59" t="n">
        <v>80000</v>
      </c>
      <c r="L13" s="59" t="n">
        <v>100000</v>
      </c>
      <c r="M13" s="59" t="n">
        <v>120000</v>
      </c>
      <c r="N13" s="59" t="n">
        <v>140000</v>
      </c>
      <c r="O13" s="59" t="n">
        <v>160000</v>
      </c>
      <c r="P13" s="59" t="n">
        <v>180000</v>
      </c>
      <c r="Q13" s="59" t="n">
        <v>200000</v>
      </c>
      <c r="R13" s="59" t="n">
        <v>230000</v>
      </c>
      <c r="S13" s="59" t="n">
        <v>260000</v>
      </c>
      <c r="T13" s="59" t="n">
        <v>280000</v>
      </c>
      <c r="U13" s="59" t="n">
        <v>300000</v>
      </c>
      <c r="V13" s="59" t="n">
        <v>320000</v>
      </c>
      <c r="W13" s="59" t="n">
        <v>340000</v>
      </c>
      <c r="X13" s="59" t="n">
        <v>360000</v>
      </c>
      <c r="Y13" s="59" t="n">
        <v>380000</v>
      </c>
    </row>
    <row r="14">
      <c r="A14" s="33" t="inlineStr">
        <is>
          <t>ИТОГО OPEX, ₽</t>
        </is>
      </c>
      <c r="B14" s="60">
        <f>SUM(B11:B13)</f>
        <v/>
      </c>
      <c r="C14" s="60">
        <f>SUM(C11:C13)</f>
        <v/>
      </c>
      <c r="D14" s="60">
        <f>SUM(D11:D13)</f>
        <v/>
      </c>
      <c r="E14" s="60">
        <f>SUM(E11:E13)</f>
        <v/>
      </c>
      <c r="F14" s="60">
        <f>SUM(F11:F13)</f>
        <v/>
      </c>
      <c r="G14" s="60">
        <f>SUM(G11:G13)</f>
        <v/>
      </c>
      <c r="H14" s="60">
        <f>SUM(H11:H13)</f>
        <v/>
      </c>
      <c r="I14" s="60">
        <f>SUM(I11:I13)</f>
        <v/>
      </c>
      <c r="J14" s="60">
        <f>SUM(J11:J13)</f>
        <v/>
      </c>
      <c r="K14" s="60">
        <f>SUM(K11:K13)</f>
        <v/>
      </c>
      <c r="L14" s="60">
        <f>SUM(L11:L13)</f>
        <v/>
      </c>
      <c r="M14" s="60">
        <f>SUM(M11:M13)</f>
        <v/>
      </c>
      <c r="N14" s="60">
        <f>SUM(N11:N13)</f>
        <v/>
      </c>
      <c r="O14" s="60">
        <f>SUM(O11:O13)</f>
        <v/>
      </c>
      <c r="P14" s="60">
        <f>SUM(P11:P13)</f>
        <v/>
      </c>
      <c r="Q14" s="60">
        <f>SUM(Q11:Q13)</f>
        <v/>
      </c>
      <c r="R14" s="60">
        <f>SUM(R11:R13)</f>
        <v/>
      </c>
      <c r="S14" s="60">
        <f>SUM(S11:S13)</f>
        <v/>
      </c>
      <c r="T14" s="60">
        <f>SUM(T11:T13)</f>
        <v/>
      </c>
      <c r="U14" s="60">
        <f>SUM(U11:U13)</f>
        <v/>
      </c>
      <c r="V14" s="60">
        <f>SUM(V11:V13)</f>
        <v/>
      </c>
      <c r="W14" s="60">
        <f>SUM(W11:W13)</f>
        <v/>
      </c>
      <c r="X14" s="60">
        <f>SUM(X11:X13)</f>
        <v/>
      </c>
      <c r="Y14" s="60">
        <f>SUM(Y11:Y13)</f>
        <v/>
      </c>
    </row>
    <row r="16">
      <c r="A16" s="33" t="inlineStr">
        <is>
          <t>Прибыль/убыток, ₽</t>
        </is>
      </c>
      <c r="B16" s="61">
        <f>B9-B14</f>
        <v/>
      </c>
      <c r="C16" s="61">
        <f>C9-C14</f>
        <v/>
      </c>
      <c r="D16" s="61">
        <f>D9-D14</f>
        <v/>
      </c>
      <c r="E16" s="61">
        <f>E9-E14</f>
        <v/>
      </c>
      <c r="F16" s="61">
        <f>F9-F14</f>
        <v/>
      </c>
      <c r="G16" s="61">
        <f>G9-G14</f>
        <v/>
      </c>
      <c r="H16" s="61">
        <f>H9-H14</f>
        <v/>
      </c>
      <c r="I16" s="61">
        <f>I9-I14</f>
        <v/>
      </c>
      <c r="J16" s="61">
        <f>J9-J14</f>
        <v/>
      </c>
      <c r="K16" s="61">
        <f>K9-K14</f>
        <v/>
      </c>
      <c r="L16" s="61">
        <f>L9-L14</f>
        <v/>
      </c>
      <c r="M16" s="61">
        <f>M9-M14</f>
        <v/>
      </c>
      <c r="N16" s="61">
        <f>N9-N14</f>
        <v/>
      </c>
      <c r="O16" s="61">
        <f>O9-O14</f>
        <v/>
      </c>
      <c r="P16" s="61">
        <f>P9-P14</f>
        <v/>
      </c>
      <c r="Q16" s="61">
        <f>Q9-Q14</f>
        <v/>
      </c>
      <c r="R16" s="61">
        <f>R9-R14</f>
        <v/>
      </c>
      <c r="S16" s="61">
        <f>S9-S14</f>
        <v/>
      </c>
      <c r="T16" s="61">
        <f>T9-T14</f>
        <v/>
      </c>
      <c r="U16" s="61">
        <f>U9-U14</f>
        <v/>
      </c>
      <c r="V16" s="61">
        <f>V9-V14</f>
        <v/>
      </c>
      <c r="W16" s="61">
        <f>W9-W14</f>
        <v/>
      </c>
      <c r="X16" s="61">
        <f>X9-X14</f>
        <v/>
      </c>
      <c r="Y16" s="61">
        <f>Y9-Y14</f>
        <v/>
      </c>
    </row>
    <row r="17">
      <c r="A17" s="33" t="inlineStr">
        <is>
          <t>Накопленный кэш (старт 30к ₽), ₽</t>
        </is>
      </c>
      <c r="B17" s="61">
        <f>30000+B16</f>
        <v/>
      </c>
      <c r="C17" s="49">
        <f>B17+C16</f>
        <v/>
      </c>
      <c r="D17" s="49">
        <f>C17+D16</f>
        <v/>
      </c>
      <c r="E17" s="49">
        <f>D17+E16</f>
        <v/>
      </c>
      <c r="F17" s="49">
        <f>E17+F16</f>
        <v/>
      </c>
      <c r="G17" s="49">
        <f>F17+G16</f>
        <v/>
      </c>
      <c r="H17" s="49">
        <f>G17+H16</f>
        <v/>
      </c>
      <c r="I17" s="49">
        <f>H17+I16</f>
        <v/>
      </c>
      <c r="J17" s="49">
        <f>I17+J16</f>
        <v/>
      </c>
      <c r="K17" s="49">
        <f>J17+K16</f>
        <v/>
      </c>
      <c r="L17" s="49">
        <f>K17+L16</f>
        <v/>
      </c>
      <c r="M17" s="49">
        <f>L17+M16</f>
        <v/>
      </c>
      <c r="N17" s="49">
        <f>M17+N16</f>
        <v/>
      </c>
      <c r="O17" s="49">
        <f>N17+O16</f>
        <v/>
      </c>
      <c r="P17" s="49">
        <f>O17+P16</f>
        <v/>
      </c>
      <c r="Q17" s="49">
        <f>P17+Q16</f>
        <v/>
      </c>
      <c r="R17" s="49">
        <f>Q17+R16</f>
        <v/>
      </c>
      <c r="S17" s="49">
        <f>R17+S16</f>
        <v/>
      </c>
      <c r="T17" s="49">
        <f>S17+T16</f>
        <v/>
      </c>
      <c r="U17" s="49">
        <f>T17+U16</f>
        <v/>
      </c>
      <c r="V17" s="49">
        <f>U17+V16</f>
        <v/>
      </c>
      <c r="W17" s="49">
        <f>V17+W16</f>
        <v/>
      </c>
      <c r="X17" s="49">
        <f>W17+X16</f>
        <v/>
      </c>
      <c r="Y17" s="49">
        <f>X17+Y16</f>
        <v/>
      </c>
    </row>
    <row r="20">
      <c r="A20" s="3" t="inlineStr">
        <is>
          <t>SUMMARY</t>
        </is>
      </c>
    </row>
    <row r="21">
      <c r="A21" s="4" t="inlineStr">
        <is>
          <t>Выручка/мес на M24, ₽</t>
        </is>
      </c>
      <c r="B21" s="53">
        <f>Y7</f>
        <v/>
      </c>
    </row>
    <row r="22">
      <c r="A22" s="4" t="inlineStr">
        <is>
          <t>Выручка/год на M24, ₽</t>
        </is>
      </c>
      <c r="B22" s="53">
        <f>Y7*12</f>
        <v/>
      </c>
    </row>
    <row r="23">
      <c r="A23" s="4" t="inlineStr">
        <is>
          <t>Накопленный кэш на M24, ₽</t>
        </is>
      </c>
      <c r="B23" s="53">
        <f>Y17</f>
        <v/>
      </c>
    </row>
    <row r="24">
      <c r="A24" s="4" t="inlineStr">
        <is>
          <t>Самый большой минус по деньгам, ₽</t>
        </is>
      </c>
      <c r="B24" s="60">
        <f>MIN(B17:Y17)</f>
        <v/>
      </c>
    </row>
    <row r="25">
      <c r="A25" s="4" t="inlineStr">
        <is>
          <t>Платящих клиентов на M24</t>
        </is>
      </c>
      <c r="B25" s="52">
        <f>Y5</f>
        <v/>
      </c>
    </row>
    <row r="26">
      <c r="A26" s="4" t="inlineStr">
        <is>
          <t>Месяц первой прибыли (положительная)</t>
        </is>
      </c>
      <c r="B26" s="2" t="inlineStr">
        <is>
          <t>M6 (с учётом инфры)</t>
        </is>
      </c>
    </row>
    <row r="27">
      <c r="A27" s="4" t="inlineStr">
        <is>
          <t>Месяц возврата вложений (кэш &gt; 0)</t>
        </is>
      </c>
      <c r="B27" s="2" t="inlineStr">
        <is>
          <t>M8 (с учётом инфры)</t>
        </is>
      </c>
    </row>
    <row r="28">
      <c r="A28" s="4" t="inlineStr">
        <is>
          <t>Маркетинг суммарно за 24 мес, ₽</t>
        </is>
      </c>
      <c r="B28" s="62">
        <f>SUM(B12:Y12)</f>
        <v/>
      </c>
    </row>
    <row r="29">
      <c r="A29" s="4" t="inlineStr">
        <is>
          <t>Инфра суммарно за 24 мес, ₽</t>
        </is>
      </c>
      <c r="B29" s="62">
        <f>SUM(B13:Y13)</f>
        <v/>
      </c>
    </row>
    <row r="31">
      <c r="A31" s="3" t="inlineStr">
        <is>
          <t>vs модель с зарплатой разработчикам 300к/мес (с учётом инфры):</t>
        </is>
      </c>
    </row>
    <row r="33">
      <c r="A33" s="4" t="inlineStr">
        <is>
          <t>Месяц первой прибыли</t>
        </is>
      </c>
      <c r="B33" s="63" t="inlineStr">
        <is>
          <t>M6</t>
        </is>
      </c>
      <c r="C33" s="64" t="inlineStr">
        <is>
          <t>M9</t>
        </is>
      </c>
      <c r="D33" s="4" t="inlineStr">
        <is>
          <t>+3 мес раньше</t>
        </is>
      </c>
    </row>
    <row r="34">
      <c r="A34" s="4" t="inlineStr">
        <is>
          <t>Месяц возврата вложений</t>
        </is>
      </c>
      <c r="B34" s="63" t="inlineStr">
        <is>
          <t>M8</t>
        </is>
      </c>
      <c r="C34" s="64" t="inlineStr">
        <is>
          <t>M12</t>
        </is>
      </c>
      <c r="D34" s="4" t="inlineStr">
        <is>
          <t>+4 мес раньше</t>
        </is>
      </c>
    </row>
    <row r="35">
      <c r="A35" s="4" t="inlineStr">
        <is>
          <t>Самый большой минус</t>
        </is>
      </c>
      <c r="B35" s="63" t="inlineStr">
        <is>
          <t>~−305 К ₽</t>
        </is>
      </c>
      <c r="C35" s="64" t="inlineStr">
        <is>
          <t>~−2.5 М ₽</t>
        </is>
      </c>
      <c r="D35" s="4" t="inlineStr">
        <is>
          <t>−88%</t>
        </is>
      </c>
    </row>
    <row r="36">
      <c r="A36" s="4" t="inlineStr">
        <is>
          <t>Накопленный кэш на M24</t>
        </is>
      </c>
      <c r="B36" s="63" t="inlineStr">
        <is>
          <t>~+67 М ₽</t>
        </is>
      </c>
      <c r="C36" s="64" t="inlineStr">
        <is>
          <t>~+59 М ₽</t>
        </is>
      </c>
      <c r="D36" s="4" t="inlineStr">
        <is>
          <t>+8 М</t>
        </is>
      </c>
    </row>
    <row r="37">
      <c r="A37" s="4" t="inlineStr">
        <is>
          <t>Можно ли запуститься на 30к?</t>
        </is>
      </c>
      <c r="B37" s="63" t="inlineStr">
        <is>
          <t>ДА (хватит на M1)</t>
        </is>
      </c>
      <c r="C37" s="64" t="inlineStr">
        <is>
          <t>Нет</t>
        </is>
      </c>
      <c r="D37" s="4" t="inlineStr">
        <is>
          <t>—</t>
        </is>
      </c>
    </row>
    <row r="38">
      <c r="A38" s="4" t="inlineStr">
        <is>
          <t>Источник разработки</t>
        </is>
      </c>
      <c r="B38" s="63" t="inlineStr">
        <is>
          <t>founders + AI</t>
        </is>
      </c>
      <c r="C38" s="64" t="inlineStr">
        <is>
          <t>1 senior + 1 mid</t>
        </is>
      </c>
      <c r="D38" s="4" t="inlineStr">
        <is>
          <t>—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Семантическое ядро · 63 ЧИСТЫХ запроса · Wordstat 2026</t>
        </is>
      </c>
    </row>
    <row r="2" ht="32" customHeight="1">
      <c r="A2" s="2" t="inlineStr">
        <is>
          <t>Только запросы с явным buying intent: vertical / AI-specific / pain-driven / research. Грязные (бренд+generic+freebie) исключены — экономят бюджет в 2-3× через downstream conversion.</t>
        </is>
      </c>
    </row>
    <row r="4" ht="36" customHeight="1">
      <c r="A4" s="8" t="inlineStr">
        <is>
          <t>#</t>
        </is>
      </c>
      <c r="B4" s="8" t="inlineStr">
        <is>
          <t>Запрос</t>
        </is>
      </c>
      <c r="C4" s="8" t="inlineStr">
        <is>
          <t>Категория</t>
        </is>
      </c>
      <c r="D4" s="8" t="inlineStr">
        <is>
          <t>Показов/мес 2026</t>
        </is>
      </c>
      <c r="E4" s="8" t="inlineStr">
        <is>
          <t>CPC ₽ 2026</t>
        </is>
      </c>
      <c r="F4" s="8" t="inlineStr">
        <is>
          <t>Ценность 1-5</t>
        </is>
      </c>
    </row>
    <row r="5">
      <c r="A5" s="4" t="n">
        <v>1</v>
      </c>
      <c r="B5" s="4" t="inlineStr">
        <is>
          <t>сайт под ключ</t>
        </is>
      </c>
      <c r="C5" s="4" t="inlineStr">
        <is>
          <t>A. Прямой intent</t>
        </is>
      </c>
      <c r="D5" s="56" t="n">
        <v>18000</v>
      </c>
      <c r="E5" s="57" t="n">
        <v>135</v>
      </c>
      <c r="F5" s="65" t="n">
        <v>4</v>
      </c>
    </row>
    <row r="6">
      <c r="A6" s="4" t="n">
        <v>2</v>
      </c>
      <c r="B6" s="4" t="inlineStr">
        <is>
          <t>лендинг создать</t>
        </is>
      </c>
      <c r="C6" s="4" t="inlineStr">
        <is>
          <t>A. Прямой intent</t>
        </is>
      </c>
      <c r="D6" s="56" t="n">
        <v>15000</v>
      </c>
      <c r="E6" s="57" t="n">
        <v>120</v>
      </c>
      <c r="F6" s="65" t="n">
        <v>4</v>
      </c>
    </row>
    <row r="7">
      <c r="A7" s="4" t="n">
        <v>3</v>
      </c>
      <c r="B7" s="4" t="inlineStr">
        <is>
          <t>сайт самостоятельно</t>
        </is>
      </c>
      <c r="C7" s="4" t="inlineStr">
        <is>
          <t>A. Прямой intent</t>
        </is>
      </c>
      <c r="D7" s="56" t="n">
        <v>8000</v>
      </c>
      <c r="E7" s="57" t="n">
        <v>80</v>
      </c>
      <c r="F7" s="65" t="n">
        <v>4</v>
      </c>
    </row>
    <row r="8">
      <c r="A8" s="4" t="n">
        <v>4</v>
      </c>
      <c r="B8" s="4" t="inlineStr">
        <is>
          <t>одностраничный сайт</t>
        </is>
      </c>
      <c r="C8" s="4" t="inlineStr">
        <is>
          <t>A. Прямой intent</t>
        </is>
      </c>
      <c r="D8" s="56" t="n">
        <v>5000</v>
      </c>
      <c r="E8" s="57" t="n">
        <v>90</v>
      </c>
      <c r="F8" s="65" t="n">
        <v>4</v>
      </c>
    </row>
    <row r="9">
      <c r="A9" s="4" t="n">
        <v>5</v>
      </c>
      <c r="B9" s="4" t="inlineStr">
        <is>
          <t>сайт без программиста</t>
        </is>
      </c>
      <c r="C9" s="4" t="inlineStr">
        <is>
          <t>A. Прямой intent</t>
        </is>
      </c>
      <c r="D9" s="56" t="n">
        <v>1500</v>
      </c>
      <c r="E9" s="57" t="n">
        <v>65</v>
      </c>
      <c r="F9" s="65" t="n">
        <v>5</v>
      </c>
    </row>
    <row r="10">
      <c r="A10" s="4" t="n">
        <v>6</v>
      </c>
      <c r="B10" s="4" t="inlineStr">
        <is>
          <t>нейросеть сайт</t>
        </is>
      </c>
      <c r="C10" s="4" t="inlineStr">
        <is>
          <t>B. AI ★</t>
        </is>
      </c>
      <c r="D10" s="56" t="n">
        <v>4500</v>
      </c>
      <c r="E10" s="57" t="n">
        <v>85</v>
      </c>
      <c r="F10" s="65" t="n">
        <v>5</v>
      </c>
    </row>
    <row r="11">
      <c r="A11" s="4" t="n">
        <v>7</v>
      </c>
      <c r="B11" s="4" t="inlineStr">
        <is>
          <t>ai сайт</t>
        </is>
      </c>
      <c r="C11" s="4" t="inlineStr">
        <is>
          <t>B. AI ★</t>
        </is>
      </c>
      <c r="D11" s="56" t="n">
        <v>2800</v>
      </c>
      <c r="E11" s="57" t="n">
        <v>90</v>
      </c>
      <c r="F11" s="65" t="n">
        <v>5</v>
      </c>
    </row>
    <row r="12">
      <c r="A12" s="4" t="n">
        <v>8</v>
      </c>
      <c r="B12" s="4" t="inlineStr">
        <is>
          <t>нейросеть создать сайт</t>
        </is>
      </c>
      <c r="C12" s="4" t="inlineStr">
        <is>
          <t>B. AI ★</t>
        </is>
      </c>
      <c r="D12" s="56" t="n">
        <v>2200</v>
      </c>
      <c r="E12" s="57" t="n">
        <v>80</v>
      </c>
      <c r="F12" s="65" t="n">
        <v>5</v>
      </c>
    </row>
    <row r="13">
      <c r="A13" s="4" t="n">
        <v>9</v>
      </c>
      <c r="B13" s="4" t="inlineStr">
        <is>
          <t>сайт через chatgpt</t>
        </is>
      </c>
      <c r="C13" s="4" t="inlineStr">
        <is>
          <t>B. AI ★</t>
        </is>
      </c>
      <c r="D13" s="56" t="n">
        <v>1500</v>
      </c>
      <c r="E13" s="57" t="n">
        <v>75</v>
      </c>
      <c r="F13" s="65" t="n">
        <v>4</v>
      </c>
    </row>
    <row r="14">
      <c r="A14" s="4" t="n">
        <v>10</v>
      </c>
      <c r="B14" s="4" t="inlineStr">
        <is>
          <t>искусственный интеллект сайт</t>
        </is>
      </c>
      <c r="C14" s="4" t="inlineStr">
        <is>
          <t>B. AI ★</t>
        </is>
      </c>
      <c r="D14" s="56" t="n">
        <v>1400</v>
      </c>
      <c r="E14" s="57" t="n">
        <v>80</v>
      </c>
      <c r="F14" s="65" t="n">
        <v>4</v>
      </c>
    </row>
    <row r="15">
      <c r="A15" s="4" t="n">
        <v>11</v>
      </c>
      <c r="B15" s="4" t="inlineStr">
        <is>
          <t>сделать сайт нейросетью</t>
        </is>
      </c>
      <c r="C15" s="4" t="inlineStr">
        <is>
          <t>B. AI ★</t>
        </is>
      </c>
      <c r="D15" s="56" t="n">
        <v>1300</v>
      </c>
      <c r="E15" s="57" t="n">
        <v>80</v>
      </c>
      <c r="F15" s="65" t="n">
        <v>5</v>
      </c>
    </row>
    <row r="16">
      <c r="A16" s="4" t="n">
        <v>12</v>
      </c>
      <c r="B16" s="4" t="inlineStr">
        <is>
          <t>ai конструктор сайтов</t>
        </is>
      </c>
      <c r="C16" s="4" t="inlineStr">
        <is>
          <t>B. AI ★</t>
        </is>
      </c>
      <c r="D16" s="56" t="n">
        <v>1200</v>
      </c>
      <c r="E16" s="57" t="n">
        <v>95</v>
      </c>
      <c r="F16" s="65" t="n">
        <v>5</v>
      </c>
    </row>
    <row r="17">
      <c r="A17" s="4" t="n">
        <v>13</v>
      </c>
      <c r="B17" s="4" t="inlineStr">
        <is>
          <t>сайт с помощью ai</t>
        </is>
      </c>
      <c r="C17" s="4" t="inlineStr">
        <is>
          <t>B. AI ★</t>
        </is>
      </c>
      <c r="D17" s="56" t="n">
        <v>950</v>
      </c>
      <c r="E17" s="57" t="n">
        <v>85</v>
      </c>
      <c r="F17" s="65" t="n">
        <v>5</v>
      </c>
    </row>
    <row r="18">
      <c r="A18" s="4" t="n">
        <v>14</v>
      </c>
      <c r="B18" s="4" t="inlineStr">
        <is>
          <t>генератор сайтов ai</t>
        </is>
      </c>
      <c r="C18" s="4" t="inlineStr">
        <is>
          <t>B. AI ★</t>
        </is>
      </c>
      <c r="D18" s="56" t="n">
        <v>800</v>
      </c>
      <c r="E18" s="57" t="n">
        <v>95</v>
      </c>
      <c r="F18" s="65" t="n">
        <v>5</v>
      </c>
    </row>
    <row r="19">
      <c r="A19" s="4" t="n">
        <v>15</v>
      </c>
      <c r="B19" s="4" t="inlineStr">
        <is>
          <t>wix или tilda</t>
        </is>
      </c>
      <c r="C19" s="4" t="inlineStr">
        <is>
          <t>C. Research</t>
        </is>
      </c>
      <c r="D19" s="56" t="n">
        <v>1500</v>
      </c>
      <c r="E19" s="57" t="n">
        <v>65</v>
      </c>
      <c r="F19" s="65" t="n">
        <v>5</v>
      </c>
    </row>
    <row r="20">
      <c r="A20" s="4" t="n">
        <v>16</v>
      </c>
      <c r="B20" s="4" t="inlineStr">
        <is>
          <t>tilda аналог</t>
        </is>
      </c>
      <c r="C20" s="4" t="inlineStr">
        <is>
          <t>C. Research</t>
        </is>
      </c>
      <c r="D20" s="56" t="n">
        <v>1100</v>
      </c>
      <c r="E20" s="57" t="n">
        <v>75</v>
      </c>
      <c r="F20" s="65" t="n">
        <v>5</v>
      </c>
    </row>
    <row r="21">
      <c r="A21" s="4" t="n">
        <v>17</v>
      </c>
      <c r="B21" s="4" t="inlineStr">
        <is>
          <t>конструктор сайтов сравнение</t>
        </is>
      </c>
      <c r="C21" s="4" t="inlineStr">
        <is>
          <t>C. Research</t>
        </is>
      </c>
      <c r="D21" s="56" t="n">
        <v>800</v>
      </c>
      <c r="E21" s="57" t="n">
        <v>80</v>
      </c>
      <c r="F21" s="65" t="n">
        <v>4</v>
      </c>
    </row>
    <row r="22">
      <c r="A22" s="4" t="n">
        <v>18</v>
      </c>
      <c r="B22" s="4" t="inlineStr">
        <is>
          <t>замена tilda</t>
        </is>
      </c>
      <c r="C22" s="4" t="inlineStr">
        <is>
          <t>C. Research</t>
        </is>
      </c>
      <c r="D22" s="56" t="n">
        <v>600</v>
      </c>
      <c r="E22" s="57" t="n">
        <v>70</v>
      </c>
      <c r="F22" s="65" t="n">
        <v>5</v>
      </c>
    </row>
    <row r="23">
      <c r="A23" s="4" t="n">
        <v>19</v>
      </c>
      <c r="B23" s="4" t="inlineStr">
        <is>
          <t>доставка еды сайт</t>
        </is>
      </c>
      <c r="C23" s="4" t="inlineStr">
        <is>
          <t>D. Кафе</t>
        </is>
      </c>
      <c r="D23" s="56" t="n">
        <v>4500</v>
      </c>
      <c r="E23" s="57" t="n">
        <v>95</v>
      </c>
      <c r="F23" s="65" t="n">
        <v>4</v>
      </c>
    </row>
    <row r="24">
      <c r="A24" s="4" t="n">
        <v>20</v>
      </c>
      <c r="B24" s="4" t="inlineStr">
        <is>
          <t>сайт ресторана</t>
        </is>
      </c>
      <c r="C24" s="4" t="inlineStr">
        <is>
          <t>D. Кафе</t>
        </is>
      </c>
      <c r="D24" s="56" t="n">
        <v>3000</v>
      </c>
      <c r="E24" s="57" t="n">
        <v>85</v>
      </c>
      <c r="F24" s="65" t="n">
        <v>5</v>
      </c>
    </row>
    <row r="25">
      <c r="A25" s="4" t="n">
        <v>21</v>
      </c>
      <c r="B25" s="4" t="inlineStr">
        <is>
          <t>сайт для кафе</t>
        </is>
      </c>
      <c r="C25" s="4" t="inlineStr">
        <is>
          <t>D. Кафе</t>
        </is>
      </c>
      <c r="D25" s="56" t="n">
        <v>2500</v>
      </c>
      <c r="E25" s="57" t="n">
        <v>75</v>
      </c>
      <c r="F25" s="65" t="n">
        <v>5</v>
      </c>
    </row>
    <row r="26">
      <c r="A26" s="4" t="n">
        <v>22</v>
      </c>
      <c r="B26" s="4" t="inlineStr">
        <is>
          <t>сайт кофейни</t>
        </is>
      </c>
      <c r="C26" s="4" t="inlineStr">
        <is>
          <t>D. Кафе</t>
        </is>
      </c>
      <c r="D26" s="56" t="n">
        <v>800</v>
      </c>
      <c r="E26" s="57" t="n">
        <v>70</v>
      </c>
      <c r="F26" s="65" t="n">
        <v>5</v>
      </c>
    </row>
    <row r="27">
      <c r="A27" s="4" t="n">
        <v>23</v>
      </c>
      <c r="B27" s="4" t="inlineStr">
        <is>
          <t>сайт для бара</t>
        </is>
      </c>
      <c r="C27" s="4" t="inlineStr">
        <is>
          <t>D. Кафе</t>
        </is>
      </c>
      <c r="D27" s="56" t="n">
        <v>600</v>
      </c>
      <c r="E27" s="57" t="n">
        <v>70</v>
      </c>
      <c r="F27" s="65" t="n">
        <v>4</v>
      </c>
    </row>
    <row r="28">
      <c r="A28" s="4" t="n">
        <v>24</v>
      </c>
      <c r="B28" s="4" t="inlineStr">
        <is>
          <t>сайт пиццерии</t>
        </is>
      </c>
      <c r="C28" s="4" t="inlineStr">
        <is>
          <t>D. Кафе</t>
        </is>
      </c>
      <c r="D28" s="56" t="n">
        <v>500</v>
      </c>
      <c r="E28" s="57" t="n">
        <v>75</v>
      </c>
      <c r="F28" s="65" t="n">
        <v>5</v>
      </c>
    </row>
    <row r="29">
      <c r="A29" s="4" t="n">
        <v>25</v>
      </c>
      <c r="B29" s="4" t="inlineStr">
        <is>
          <t>создать интернет магазин</t>
        </is>
      </c>
      <c r="C29" s="4" t="inlineStr">
        <is>
          <t>E. Магазин</t>
        </is>
      </c>
      <c r="D29" s="56" t="n">
        <v>12000</v>
      </c>
      <c r="E29" s="57" t="n">
        <v>165</v>
      </c>
      <c r="F29" s="65" t="n">
        <v>4</v>
      </c>
    </row>
    <row r="30">
      <c r="A30" s="4" t="n">
        <v>26</v>
      </c>
      <c r="B30" s="4" t="inlineStr">
        <is>
          <t>интернет магазин с нуля</t>
        </is>
      </c>
      <c r="C30" s="4" t="inlineStr">
        <is>
          <t>E. Магазин</t>
        </is>
      </c>
      <c r="D30" s="56" t="n">
        <v>3500</v>
      </c>
      <c r="E30" s="57" t="n">
        <v>130</v>
      </c>
      <c r="F30" s="65" t="n">
        <v>4</v>
      </c>
    </row>
    <row r="31">
      <c r="A31" s="4" t="n">
        <v>27</v>
      </c>
      <c r="B31" s="4" t="inlineStr">
        <is>
          <t>интернет магазин под ключ</t>
        </is>
      </c>
      <c r="C31" s="4" t="inlineStr">
        <is>
          <t>E. Магазин</t>
        </is>
      </c>
      <c r="D31" s="56" t="n">
        <v>2500</v>
      </c>
      <c r="E31" s="57" t="n">
        <v>145</v>
      </c>
      <c r="F31" s="65" t="n">
        <v>4</v>
      </c>
    </row>
    <row r="32">
      <c r="A32" s="4" t="n">
        <v>28</v>
      </c>
      <c r="B32" s="4" t="inlineStr">
        <is>
          <t>магазин одежды сайт</t>
        </is>
      </c>
      <c r="C32" s="4" t="inlineStr">
        <is>
          <t>E. Магазин</t>
        </is>
      </c>
      <c r="D32" s="56" t="n">
        <v>2000</v>
      </c>
      <c r="E32" s="57" t="n">
        <v>95</v>
      </c>
      <c r="F32" s="65" t="n">
        <v>4</v>
      </c>
    </row>
    <row r="33">
      <c r="A33" s="4" t="n">
        <v>29</v>
      </c>
      <c r="B33" s="4" t="inlineStr">
        <is>
          <t>сайт цветочного магазина</t>
        </is>
      </c>
      <c r="C33" s="4" t="inlineStr">
        <is>
          <t>E. Магазин</t>
        </is>
      </c>
      <c r="D33" s="56" t="n">
        <v>600</v>
      </c>
      <c r="E33" s="57" t="n">
        <v>70</v>
      </c>
      <c r="F33" s="65" t="n">
        <v>5</v>
      </c>
    </row>
    <row r="34">
      <c r="A34" s="4" t="n">
        <v>30</v>
      </c>
      <c r="B34" s="4" t="inlineStr">
        <is>
          <t>сайт юриста</t>
        </is>
      </c>
      <c r="C34" s="4" t="inlineStr">
        <is>
          <t>F. Юрист</t>
        </is>
      </c>
      <c r="D34" s="56" t="n">
        <v>2000</v>
      </c>
      <c r="E34" s="57" t="n">
        <v>105</v>
      </c>
      <c r="F34" s="65" t="n">
        <v>5</v>
      </c>
    </row>
    <row r="35">
      <c r="A35" s="4" t="n">
        <v>31</v>
      </c>
      <c r="B35" s="4" t="inlineStr">
        <is>
          <t>сайт адвоката</t>
        </is>
      </c>
      <c r="C35" s="4" t="inlineStr">
        <is>
          <t>F. Юрист</t>
        </is>
      </c>
      <c r="D35" s="56" t="n">
        <v>1500</v>
      </c>
      <c r="E35" s="57" t="n">
        <v>105</v>
      </c>
      <c r="F35" s="65" t="n">
        <v>5</v>
      </c>
    </row>
    <row r="36">
      <c r="A36" s="4" t="n">
        <v>32</v>
      </c>
      <c r="B36" s="4" t="inlineStr">
        <is>
          <t>сайт юридической компании</t>
        </is>
      </c>
      <c r="C36" s="4" t="inlineStr">
        <is>
          <t>F. Юрист</t>
        </is>
      </c>
      <c r="D36" s="56" t="n">
        <v>800</v>
      </c>
      <c r="E36" s="57" t="n">
        <v>125</v>
      </c>
      <c r="F36" s="65" t="n">
        <v>5</v>
      </c>
    </row>
    <row r="37">
      <c r="A37" s="4" t="n">
        <v>33</v>
      </c>
      <c r="B37" s="4" t="inlineStr">
        <is>
          <t>сайт нотариуса</t>
        </is>
      </c>
      <c r="C37" s="4" t="inlineStr">
        <is>
          <t>F. Юрист</t>
        </is>
      </c>
      <c r="D37" s="56" t="n">
        <v>600</v>
      </c>
      <c r="E37" s="57" t="n">
        <v>90</v>
      </c>
      <c r="F37" s="65" t="n">
        <v>5</v>
      </c>
    </row>
    <row r="38">
      <c r="A38" s="4" t="n">
        <v>34</v>
      </c>
      <c r="B38" s="4" t="inlineStr">
        <is>
          <t>сайт визитка юристу</t>
        </is>
      </c>
      <c r="C38" s="4" t="inlineStr">
        <is>
          <t>F. Юрист</t>
        </is>
      </c>
      <c r="D38" s="56" t="n">
        <v>400</v>
      </c>
      <c r="E38" s="57" t="n">
        <v>85</v>
      </c>
      <c r="F38" s="65" t="n">
        <v>5</v>
      </c>
    </row>
    <row r="39">
      <c r="A39" s="4" t="n">
        <v>35</v>
      </c>
      <c r="B39" s="4" t="inlineStr">
        <is>
          <t>сайт салона красоты</t>
        </is>
      </c>
      <c r="C39" s="4" t="inlineStr">
        <is>
          <t>G. Красота</t>
        </is>
      </c>
      <c r="D39" s="56" t="n">
        <v>2500</v>
      </c>
      <c r="E39" s="57" t="n">
        <v>85</v>
      </c>
      <c r="F39" s="65" t="n">
        <v>5</v>
      </c>
    </row>
    <row r="40">
      <c r="A40" s="4" t="n">
        <v>36</v>
      </c>
      <c r="B40" s="4" t="inlineStr">
        <is>
          <t>сайт мастера маникюра</t>
        </is>
      </c>
      <c r="C40" s="4" t="inlineStr">
        <is>
          <t>G. Красота</t>
        </is>
      </c>
      <c r="D40" s="56" t="n">
        <v>1800</v>
      </c>
      <c r="E40" s="57" t="n">
        <v>75</v>
      </c>
      <c r="F40" s="65" t="n">
        <v>5</v>
      </c>
    </row>
    <row r="41">
      <c r="A41" s="4" t="n">
        <v>37</v>
      </c>
      <c r="B41" s="4" t="inlineStr">
        <is>
          <t>сайт косметолога</t>
        </is>
      </c>
      <c r="C41" s="4" t="inlineStr">
        <is>
          <t>G. Красота</t>
        </is>
      </c>
      <c r="D41" s="56" t="n">
        <v>1500</v>
      </c>
      <c r="E41" s="57" t="n">
        <v>95</v>
      </c>
      <c r="F41" s="65" t="n">
        <v>5</v>
      </c>
    </row>
    <row r="42">
      <c r="A42" s="4" t="n">
        <v>38</v>
      </c>
      <c r="B42" s="4" t="inlineStr">
        <is>
          <t>сайт парикмахерской</t>
        </is>
      </c>
      <c r="C42" s="4" t="inlineStr">
        <is>
          <t>G. Красота</t>
        </is>
      </c>
      <c r="D42" s="56" t="n">
        <v>1200</v>
      </c>
      <c r="E42" s="57" t="n">
        <v>65</v>
      </c>
      <c r="F42" s="65" t="n">
        <v>5</v>
      </c>
    </row>
    <row r="43">
      <c r="A43" s="4" t="n">
        <v>39</v>
      </c>
      <c r="B43" s="4" t="inlineStr">
        <is>
          <t>сайт барбершопа</t>
        </is>
      </c>
      <c r="C43" s="4" t="inlineStr">
        <is>
          <t>G. Красота</t>
        </is>
      </c>
      <c r="D43" s="56" t="n">
        <v>800</v>
      </c>
      <c r="E43" s="57" t="n">
        <v>70</v>
      </c>
      <c r="F43" s="65" t="n">
        <v>5</v>
      </c>
    </row>
    <row r="44">
      <c r="A44" s="4" t="n">
        <v>40</v>
      </c>
      <c r="B44" s="4" t="inlineStr">
        <is>
          <t>сайт клиники</t>
        </is>
      </c>
      <c r="C44" s="4" t="inlineStr">
        <is>
          <t>H. Медицина</t>
        </is>
      </c>
      <c r="D44" s="56" t="n">
        <v>2000</v>
      </c>
      <c r="E44" s="57" t="n">
        <v>145</v>
      </c>
      <c r="F44" s="65" t="n">
        <v>4</v>
      </c>
    </row>
    <row r="45">
      <c r="A45" s="4" t="n">
        <v>41</v>
      </c>
      <c r="B45" s="4" t="inlineStr">
        <is>
          <t>сайт врача</t>
        </is>
      </c>
      <c r="C45" s="4" t="inlineStr">
        <is>
          <t>H. Медицина</t>
        </is>
      </c>
      <c r="D45" s="56" t="n">
        <v>1800</v>
      </c>
      <c r="E45" s="57" t="n">
        <v>95</v>
      </c>
      <c r="F45" s="65" t="n">
        <v>5</v>
      </c>
    </row>
    <row r="46">
      <c r="A46" s="4" t="n">
        <v>42</v>
      </c>
      <c r="B46" s="4" t="inlineStr">
        <is>
          <t>сайт стоматологии</t>
        </is>
      </c>
      <c r="C46" s="4" t="inlineStr">
        <is>
          <t>H. Медицина</t>
        </is>
      </c>
      <c r="D46" s="56" t="n">
        <v>1500</v>
      </c>
      <c r="E46" s="57" t="n">
        <v>130</v>
      </c>
      <c r="F46" s="65" t="n">
        <v>5</v>
      </c>
    </row>
    <row r="47">
      <c r="A47" s="4" t="n">
        <v>43</v>
      </c>
      <c r="B47" s="4" t="inlineStr">
        <is>
          <t>сайт медцентра</t>
        </is>
      </c>
      <c r="C47" s="4" t="inlineStr">
        <is>
          <t>H. Медицина</t>
        </is>
      </c>
      <c r="D47" s="56" t="n">
        <v>1200</v>
      </c>
      <c r="E47" s="57" t="n">
        <v>145</v>
      </c>
      <c r="F47" s="65" t="n">
        <v>4</v>
      </c>
    </row>
    <row r="48">
      <c r="A48" s="4" t="n">
        <v>44</v>
      </c>
      <c r="B48" s="4" t="inlineStr">
        <is>
          <t>сайт ветклиники</t>
        </is>
      </c>
      <c r="C48" s="4" t="inlineStr">
        <is>
          <t>H. Медицина</t>
        </is>
      </c>
      <c r="D48" s="56" t="n">
        <v>800</v>
      </c>
      <c r="E48" s="57" t="n">
        <v>105</v>
      </c>
      <c r="F48" s="65" t="n">
        <v>5</v>
      </c>
    </row>
    <row r="49">
      <c r="A49" s="4" t="n">
        <v>45</v>
      </c>
      <c r="B49" s="4" t="inlineStr">
        <is>
          <t>сайт автосервиса</t>
        </is>
      </c>
      <c r="C49" s="4" t="inlineStr">
        <is>
          <t>I. Авто</t>
        </is>
      </c>
      <c r="D49" s="56" t="n">
        <v>1200</v>
      </c>
      <c r="E49" s="57" t="n">
        <v>85</v>
      </c>
      <c r="F49" s="65" t="n">
        <v>5</v>
      </c>
    </row>
    <row r="50">
      <c r="A50" s="4" t="n">
        <v>46</v>
      </c>
      <c r="B50" s="4" t="inlineStr">
        <is>
          <t>сайт автосалона</t>
        </is>
      </c>
      <c r="C50" s="4" t="inlineStr">
        <is>
          <t>I. Авто</t>
        </is>
      </c>
      <c r="D50" s="56" t="n">
        <v>800</v>
      </c>
      <c r="E50" s="57" t="n">
        <v>115</v>
      </c>
      <c r="F50" s="65" t="n">
        <v>4</v>
      </c>
    </row>
    <row r="51">
      <c r="A51" s="4" t="n">
        <v>47</v>
      </c>
      <c r="B51" s="4" t="inlineStr">
        <is>
          <t>сайт шиномонтажа</t>
        </is>
      </c>
      <c r="C51" s="4" t="inlineStr">
        <is>
          <t>I. Авто</t>
        </is>
      </c>
      <c r="D51" s="56" t="n">
        <v>600</v>
      </c>
      <c r="E51" s="57" t="n">
        <v>65</v>
      </c>
      <c r="F51" s="65" t="n">
        <v>5</v>
      </c>
    </row>
    <row r="52">
      <c r="A52" s="4" t="n">
        <v>48</v>
      </c>
      <c r="B52" s="4" t="inlineStr">
        <is>
          <t>сайт детейлинга</t>
        </is>
      </c>
      <c r="C52" s="4" t="inlineStr">
        <is>
          <t>I. Авто</t>
        </is>
      </c>
      <c r="D52" s="56" t="n">
        <v>500</v>
      </c>
      <c r="E52" s="57" t="n">
        <v>75</v>
      </c>
      <c r="F52" s="65" t="n">
        <v>5</v>
      </c>
    </row>
    <row r="53">
      <c r="A53" s="4" t="n">
        <v>49</v>
      </c>
      <c r="B53" s="4" t="inlineStr">
        <is>
          <t>сайт агентства недвижимости</t>
        </is>
      </c>
      <c r="C53" s="4" t="inlineStr">
        <is>
          <t>J. Недв</t>
        </is>
      </c>
      <c r="D53" s="56" t="n">
        <v>1500</v>
      </c>
      <c r="E53" s="57" t="n">
        <v>125</v>
      </c>
      <c r="F53" s="65" t="n">
        <v>4</v>
      </c>
    </row>
    <row r="54">
      <c r="A54" s="4" t="n">
        <v>50</v>
      </c>
      <c r="B54" s="4" t="inlineStr">
        <is>
          <t>сайт риэлтора</t>
        </is>
      </c>
      <c r="C54" s="4" t="inlineStr">
        <is>
          <t>J. Недв</t>
        </is>
      </c>
      <c r="D54" s="56" t="n">
        <v>1200</v>
      </c>
      <c r="E54" s="57" t="n">
        <v>95</v>
      </c>
      <c r="F54" s="65" t="n">
        <v>5</v>
      </c>
    </row>
    <row r="55">
      <c r="A55" s="4" t="n">
        <v>51</v>
      </c>
      <c r="B55" s="4" t="inlineStr">
        <is>
          <t>сайт жк</t>
        </is>
      </c>
      <c r="C55" s="4" t="inlineStr">
        <is>
          <t>J. Недв</t>
        </is>
      </c>
      <c r="D55" s="56" t="n">
        <v>800</v>
      </c>
      <c r="E55" s="57" t="n">
        <v>175</v>
      </c>
      <c r="F55" s="66" t="n">
        <v>3</v>
      </c>
    </row>
    <row r="56">
      <c r="A56" s="4" t="n">
        <v>52</v>
      </c>
      <c r="B56" s="4" t="inlineStr">
        <is>
          <t>сайт застройщика</t>
        </is>
      </c>
      <c r="C56" s="4" t="inlineStr">
        <is>
          <t>J. Недв</t>
        </is>
      </c>
      <c r="D56" s="56" t="n">
        <v>600</v>
      </c>
      <c r="E56" s="57" t="n">
        <v>145</v>
      </c>
      <c r="F56" s="65" t="n">
        <v>4</v>
      </c>
    </row>
    <row r="57">
      <c r="A57" s="4" t="n">
        <v>53</v>
      </c>
      <c r="B57" s="4" t="inlineStr">
        <is>
          <t>сайт психолога</t>
        </is>
      </c>
      <c r="C57" s="4" t="inlineStr">
        <is>
          <t>K. Образ</t>
        </is>
      </c>
      <c r="D57" s="56" t="n">
        <v>2500</v>
      </c>
      <c r="E57" s="57" t="n">
        <v>95</v>
      </c>
      <c r="F57" s="65" t="n">
        <v>5</v>
      </c>
    </row>
    <row r="58">
      <c r="A58" s="4" t="n">
        <v>54</v>
      </c>
      <c r="B58" s="4" t="inlineStr">
        <is>
          <t>сайт репетитора</t>
        </is>
      </c>
      <c r="C58" s="4" t="inlineStr">
        <is>
          <t>K. Образ</t>
        </is>
      </c>
      <c r="D58" s="56" t="n">
        <v>2000</v>
      </c>
      <c r="E58" s="57" t="n">
        <v>75</v>
      </c>
      <c r="F58" s="65" t="n">
        <v>5</v>
      </c>
    </row>
    <row r="59">
      <c r="A59" s="4" t="n">
        <v>55</v>
      </c>
      <c r="B59" s="4" t="inlineStr">
        <is>
          <t>сайт онлайн школы</t>
        </is>
      </c>
      <c r="C59" s="4" t="inlineStr">
        <is>
          <t>K. Образ</t>
        </is>
      </c>
      <c r="D59" s="56" t="n">
        <v>1500</v>
      </c>
      <c r="E59" s="57" t="n">
        <v>105</v>
      </c>
      <c r="F59" s="65" t="n">
        <v>4</v>
      </c>
    </row>
    <row r="60">
      <c r="A60" s="4" t="n">
        <v>56</v>
      </c>
      <c r="B60" s="4" t="inlineStr">
        <is>
          <t>сайт коуча</t>
        </is>
      </c>
      <c r="C60" s="4" t="inlineStr">
        <is>
          <t>K. Образ</t>
        </is>
      </c>
      <c r="D60" s="56" t="n">
        <v>800</v>
      </c>
      <c r="E60" s="57" t="n">
        <v>85</v>
      </c>
      <c r="F60" s="65" t="n">
        <v>5</v>
      </c>
    </row>
    <row r="61">
      <c r="A61" s="4" t="n">
        <v>57</v>
      </c>
      <c r="B61" s="4" t="inlineStr">
        <is>
          <t>сайт фитнес тренера</t>
        </is>
      </c>
      <c r="C61" s="4" t="inlineStr">
        <is>
          <t>K. Образ</t>
        </is>
      </c>
      <c r="D61" s="56" t="n">
        <v>700</v>
      </c>
      <c r="E61" s="57" t="n">
        <v>75</v>
      </c>
      <c r="F61" s="65" t="n">
        <v>5</v>
      </c>
    </row>
    <row r="62">
      <c r="A62" s="4" t="n">
        <v>58</v>
      </c>
      <c r="B62" s="4" t="inlineStr">
        <is>
          <t>простой сайт сделать</t>
        </is>
      </c>
      <c r="C62" s="4" t="inlineStr">
        <is>
          <t>L. Pain ★</t>
        </is>
      </c>
      <c r="D62" s="56" t="n">
        <v>1500</v>
      </c>
      <c r="E62" s="57" t="n">
        <v>70</v>
      </c>
      <c r="F62" s="65" t="n">
        <v>4</v>
      </c>
    </row>
    <row r="63">
      <c r="A63" s="4" t="n">
        <v>59</v>
      </c>
      <c r="B63" s="4" t="inlineStr">
        <is>
          <t>сайт за день</t>
        </is>
      </c>
      <c r="C63" s="4" t="inlineStr">
        <is>
          <t>L. Pain ★</t>
        </is>
      </c>
      <c r="D63" s="56" t="n">
        <v>1200</v>
      </c>
      <c r="E63" s="57" t="n">
        <v>95</v>
      </c>
      <c r="F63" s="65" t="n">
        <v>5</v>
      </c>
    </row>
    <row r="64">
      <c r="A64" s="4" t="n">
        <v>60</v>
      </c>
      <c r="B64" s="4" t="inlineStr">
        <is>
          <t>сайт быстро недорого</t>
        </is>
      </c>
      <c r="C64" s="4" t="inlineStr">
        <is>
          <t>L. Pain ★</t>
        </is>
      </c>
      <c r="D64" s="56" t="n">
        <v>800</v>
      </c>
      <c r="E64" s="57" t="n">
        <v>85</v>
      </c>
      <c r="F64" s="65" t="n">
        <v>5</v>
      </c>
    </row>
    <row r="65">
      <c r="A65" s="4" t="n">
        <v>61</v>
      </c>
      <c r="B65" s="4" t="inlineStr">
        <is>
          <t>сайт визитка дёшево</t>
        </is>
      </c>
      <c r="C65" s="4" t="inlineStr">
        <is>
          <t>L. Pain ★</t>
        </is>
      </c>
      <c r="D65" s="56" t="n">
        <v>800</v>
      </c>
      <c r="E65" s="57" t="n">
        <v>55</v>
      </c>
      <c r="F65" s="65" t="n">
        <v>4</v>
      </c>
    </row>
    <row r="66">
      <c r="A66" s="4" t="n">
        <v>62</v>
      </c>
      <c r="B66" s="4" t="inlineStr">
        <is>
          <t>сайт без знаний программирования</t>
        </is>
      </c>
      <c r="C66" s="4" t="inlineStr">
        <is>
          <t>L. Pain ★</t>
        </is>
      </c>
      <c r="D66" s="56" t="n">
        <v>600</v>
      </c>
      <c r="E66" s="57" t="n">
        <v>65</v>
      </c>
      <c r="F66" s="65" t="n">
        <v>5</v>
      </c>
    </row>
    <row r="67">
      <c r="A67" s="4" t="n">
        <v>63</v>
      </c>
      <c r="B67" s="4" t="inlineStr">
        <is>
          <t>сделать сайт самому без программиста</t>
        </is>
      </c>
      <c r="C67" s="4" t="inlineStr">
        <is>
          <t>L. Pain ★</t>
        </is>
      </c>
      <c r="D67" s="56" t="n">
        <v>400</v>
      </c>
      <c r="E67" s="57" t="n">
        <v>60</v>
      </c>
      <c r="F67" s="65" t="n">
        <v>5</v>
      </c>
    </row>
    <row r="69">
      <c r="B69" s="3" t="inlineStr">
        <is>
          <t>ИТОГО · 63 ключей</t>
        </is>
      </c>
      <c r="D69" s="67">
        <f>SUM(D5:D68)</f>
        <v/>
      </c>
      <c r="E69" s="68">
        <f>AVERAGE(E5:E68)</f>
        <v/>
      </c>
    </row>
    <row r="72">
      <c r="A72" s="3" t="inlineStr">
        <is>
          <t>ВОРОНКА 100К ₽ → ПЛАТЯЩИЕ КЛИЕНТЫ · 4 СЦЕНАРИЯ 2026</t>
        </is>
      </c>
    </row>
    <row r="74">
      <c r="A74" s="5" t="inlineStr">
        <is>
          <t>Бюджет ₽/мес</t>
        </is>
      </c>
      <c r="B74" s="40" t="n">
        <v>100000</v>
      </c>
      <c r="D74" s="2" t="inlineStr">
        <is>
          <t>← поменяй число — пересчитается всё ниже</t>
        </is>
      </c>
    </row>
    <row r="76" ht="36" customHeight="1">
      <c r="A76" s="8" t="inlineStr">
        <is>
          <t>Сценарий</t>
        </is>
      </c>
      <c r="B76" s="8" t="inlineStr">
        <is>
          <t>CPC ₽</t>
        </is>
      </c>
      <c r="C76" s="8" t="inlineStr">
        <is>
          <t>Кликов = визитов</t>
        </is>
      </c>
      <c r="D76" s="8" t="inlineStr">
        <is>
          <t>Цена визита ₽</t>
        </is>
      </c>
      <c r="E76" s="8" t="inlineStr">
        <is>
          <t>Конверсия лендинга</t>
        </is>
      </c>
      <c r="F76" s="8" t="inlineStr">
        <is>
          <t>Trial регистраций</t>
        </is>
      </c>
      <c r="G76" s="8" t="inlineStr">
        <is>
          <t>Trial → Paid</t>
        </is>
      </c>
      <c r="H76" s="8" t="inlineStr">
        <is>
          <t>Платящих/мес</t>
        </is>
      </c>
      <c r="I76" s="8" t="inlineStr">
        <is>
          <t>CAC ₽</t>
        </is>
      </c>
    </row>
    <row r="77">
      <c r="A77" s="4" t="inlineStr">
        <is>
          <t>А. Cold start M2 (clean targeting)</t>
        </is>
      </c>
      <c r="B77" s="40" t="n">
        <v>85</v>
      </c>
      <c r="C77" s="16">
        <f>$B$74/B77</f>
        <v/>
      </c>
      <c r="D77" s="43">
        <f>B77</f>
        <v/>
      </c>
      <c r="E77" s="69" t="n">
        <v>0.04</v>
      </c>
      <c r="F77" s="16">
        <f>C77*E77</f>
        <v/>
      </c>
      <c r="G77" s="69" t="n">
        <v>0.06</v>
      </c>
      <c r="H77" s="70">
        <f>F77*G77</f>
        <v/>
      </c>
      <c r="I77" s="60">
        <f>$B$74/H77</f>
        <v/>
      </c>
    </row>
    <row r="78">
      <c r="A78" s="4" t="inlineStr">
        <is>
          <t>Б. Базовая оптимизация M3</t>
        </is>
      </c>
      <c r="B78" s="40" t="n">
        <v>75</v>
      </c>
      <c r="C78" s="16">
        <f>$B$74/B78</f>
        <v/>
      </c>
      <c r="D78" s="43">
        <f>B78</f>
        <v/>
      </c>
      <c r="E78" s="69" t="n">
        <v>0.05</v>
      </c>
      <c r="F78" s="16">
        <f>C78*E78</f>
        <v/>
      </c>
      <c r="G78" s="69" t="n">
        <v>0.07000000000000001</v>
      </c>
      <c r="H78" s="70">
        <f>F78*G78</f>
        <v/>
      </c>
      <c r="I78" s="60">
        <f>$B$74/H78</f>
        <v/>
      </c>
    </row>
    <row r="79">
      <c r="A79" s="4" t="inlineStr">
        <is>
          <t>В. Vertical landing pages M4</t>
        </is>
      </c>
      <c r="B79" s="40" t="n">
        <v>65</v>
      </c>
      <c r="C79" s="16">
        <f>$B$74/B79</f>
        <v/>
      </c>
      <c r="D79" s="43">
        <f>B79</f>
        <v/>
      </c>
      <c r="E79" s="69" t="n">
        <v>0.06</v>
      </c>
      <c r="F79" s="16">
        <f>C79*E79</f>
        <v/>
      </c>
      <c r="G79" s="69" t="n">
        <v>0.08</v>
      </c>
      <c r="H79" s="70">
        <f>F79*G79</f>
        <v/>
      </c>
      <c r="I79" s="53">
        <f>$B$74/H79</f>
        <v/>
      </c>
    </row>
    <row r="80">
      <c r="A80" s="4" t="inlineStr">
        <is>
          <t>Г. Зрелая воронка M5+</t>
        </is>
      </c>
      <c r="B80" s="40" t="n">
        <v>60</v>
      </c>
      <c r="C80" s="16">
        <f>$B$74/B80</f>
        <v/>
      </c>
      <c r="D80" s="43">
        <f>B80</f>
        <v/>
      </c>
      <c r="E80" s="69" t="n">
        <v>0.07000000000000001</v>
      </c>
      <c r="F80" s="16">
        <f>C80*E80</f>
        <v/>
      </c>
      <c r="G80" s="69" t="n">
        <v>0.09</v>
      </c>
      <c r="H80" s="70">
        <f>F80*G80</f>
        <v/>
      </c>
      <c r="I80" s="53">
        <f>$B$74/H80</f>
        <v/>
      </c>
    </row>
    <row r="81">
      <c r="A81" s="4" t="inlineStr">
        <is>
          <t>Д. Идеал M6+ (LTV/CAC 2.4)</t>
        </is>
      </c>
      <c r="B81" s="40" t="n">
        <v>55</v>
      </c>
      <c r="C81" s="16">
        <f>$B$74/B81</f>
        <v/>
      </c>
      <c r="D81" s="43">
        <f>B81</f>
        <v/>
      </c>
      <c r="E81" s="69" t="n">
        <v>0.08</v>
      </c>
      <c r="F81" s="16">
        <f>C81*E81</f>
        <v/>
      </c>
      <c r="G81" s="69" t="n">
        <v>0.1</v>
      </c>
      <c r="H81" s="70">
        <f>F81*G81</f>
        <v/>
      </c>
      <c r="I81" s="53">
        <f>$B$74/H81</f>
        <v/>
      </c>
    </row>
    <row r="84">
      <c r="A84" s="3" t="inlineStr">
        <is>
          <t>ГРАФИК ПЕРВЫХ 6 МЕСЯЦЕВ НА 100К ₽/мес DIRECT</t>
        </is>
      </c>
    </row>
    <row r="86" ht="36" customHeight="1">
      <c r="A86" s="8" t="inlineStr">
        <is>
          <t>Месяц</t>
        </is>
      </c>
      <c r="B86" s="8" t="inlineStr">
        <is>
          <t>Что происходит</t>
        </is>
      </c>
      <c r="C86" s="8" t="inlineStr">
        <is>
          <t>CPC ₽</t>
        </is>
      </c>
      <c r="D86" s="8" t="inlineStr">
        <is>
          <t>CV лендинга</t>
        </is>
      </c>
      <c r="E86" s="8" t="inlineStr">
        <is>
          <t>Trial → Paid</t>
        </is>
      </c>
      <c r="F86" s="8" t="inlineStr">
        <is>
          <t>Кликов</t>
        </is>
      </c>
      <c r="G86" s="8" t="inlineStr">
        <is>
          <t>Trials</t>
        </is>
      </c>
      <c r="H86" s="8" t="inlineStr">
        <is>
          <t>Платящих</t>
        </is>
      </c>
      <c r="I86" s="8" t="inlineStr">
        <is>
          <t>CAC ₽</t>
        </is>
      </c>
    </row>
    <row r="87">
      <c r="A87" s="33" t="inlineStr">
        <is>
          <t>M1</t>
        </is>
      </c>
      <c r="B87" s="4" t="inlineStr">
        <is>
          <t>M1 Soft launch (без рекламы)</t>
        </is>
      </c>
      <c r="C87" s="71" t="inlineStr">
        <is>
          <t>—</t>
        </is>
      </c>
      <c r="D87" s="71" t="inlineStr">
        <is>
          <t>—</t>
        </is>
      </c>
      <c r="E87" s="71" t="inlineStr">
        <is>
          <t>—</t>
        </is>
      </c>
      <c r="F87" s="71" t="inlineStr">
        <is>
          <t>—</t>
        </is>
      </c>
      <c r="G87" s="71" t="inlineStr">
        <is>
          <t>—</t>
        </is>
      </c>
      <c r="H87" s="72" t="n">
        <v>0</v>
      </c>
      <c r="I87" s="71" t="inlineStr">
        <is>
          <t>—</t>
        </is>
      </c>
    </row>
    <row r="88">
      <c r="A88" s="33" t="inlineStr">
        <is>
          <t>M2</t>
        </is>
      </c>
      <c r="B88" s="4" t="inlineStr">
        <is>
          <t>M2 Cold start (clean targeting)</t>
        </is>
      </c>
      <c r="C88" s="43" t="n">
        <v>85</v>
      </c>
      <c r="D88" s="73" t="n">
        <v>0.04</v>
      </c>
      <c r="E88" s="73" t="n">
        <v>0.06</v>
      </c>
      <c r="F88" s="16">
        <f>$B$74/C88</f>
        <v/>
      </c>
      <c r="G88" s="16">
        <f>F88*D88</f>
        <v/>
      </c>
      <c r="H88" s="70">
        <f>G88*E88</f>
        <v/>
      </c>
      <c r="I88" s="43">
        <f>$B$74/H88</f>
        <v/>
      </c>
    </row>
    <row r="89">
      <c r="A89" s="33" t="inlineStr">
        <is>
          <t>M3</t>
        </is>
      </c>
      <c r="B89" s="4" t="inlineStr">
        <is>
          <t>M3 Первая оптимизация</t>
        </is>
      </c>
      <c r="C89" s="43" t="n">
        <v>75</v>
      </c>
      <c r="D89" s="73" t="n">
        <v>0.05</v>
      </c>
      <c r="E89" s="73" t="n">
        <v>0.07000000000000001</v>
      </c>
      <c r="F89" s="16">
        <f>$B$74/C89</f>
        <v/>
      </c>
      <c r="G89" s="16">
        <f>F89*D89</f>
        <v/>
      </c>
      <c r="H89" s="70">
        <f>G89*E89</f>
        <v/>
      </c>
      <c r="I89" s="43">
        <f>$B$74/H89</f>
        <v/>
      </c>
    </row>
    <row r="90">
      <c r="A90" s="33" t="inlineStr">
        <is>
          <t>M4</t>
        </is>
      </c>
      <c r="B90" s="4" t="inlineStr">
        <is>
          <t>M4 Vertical landing pages</t>
        </is>
      </c>
      <c r="C90" s="43" t="n">
        <v>65</v>
      </c>
      <c r="D90" s="73" t="n">
        <v>0.06</v>
      </c>
      <c r="E90" s="73" t="n">
        <v>0.08</v>
      </c>
      <c r="F90" s="16">
        <f>$B$74/C90</f>
        <v/>
      </c>
      <c r="G90" s="16">
        <f>F90*D90</f>
        <v/>
      </c>
      <c r="H90" s="70">
        <f>G90*E90</f>
        <v/>
      </c>
      <c r="I90" s="43">
        <f>$B$74/H90</f>
        <v/>
      </c>
    </row>
    <row r="91">
      <c r="A91" s="33" t="inlineStr">
        <is>
          <t>M5</t>
        </is>
      </c>
      <c r="B91" s="4" t="inlineStr">
        <is>
          <t>M5 Retargeting + узнаваемость</t>
        </is>
      </c>
      <c r="C91" s="43" t="n">
        <v>60</v>
      </c>
      <c r="D91" s="73" t="n">
        <v>0.07000000000000001</v>
      </c>
      <c r="E91" s="73" t="n">
        <v>0.09</v>
      </c>
      <c r="F91" s="16">
        <f>$B$74/C91</f>
        <v/>
      </c>
      <c r="G91" s="16">
        <f>F91*D91</f>
        <v/>
      </c>
      <c r="H91" s="70">
        <f>G91*E91</f>
        <v/>
      </c>
      <c r="I91" s="43">
        <f>$B$74/H91</f>
        <v/>
      </c>
    </row>
    <row r="92">
      <c r="A92" s="33" t="inlineStr">
        <is>
          <t>M6</t>
        </is>
      </c>
      <c r="B92" s="4" t="inlineStr">
        <is>
          <t>M6 Зрелая воронка</t>
        </is>
      </c>
      <c r="C92" s="43" t="n">
        <v>55</v>
      </c>
      <c r="D92" s="73" t="n">
        <v>0.08</v>
      </c>
      <c r="E92" s="73" t="n">
        <v>0.1</v>
      </c>
      <c r="F92" s="16">
        <f>$B$74/C92</f>
        <v/>
      </c>
      <c r="G92" s="16">
        <f>F92*D92</f>
        <v/>
      </c>
      <c r="H92" s="70">
        <f>G92*E92</f>
        <v/>
      </c>
      <c r="I92" s="43">
        <f>$B$74/H92</f>
        <v/>
      </c>
    </row>
    <row r="93">
      <c r="B93" s="3" t="inlineStr">
        <is>
          <t>ИТОГО за 6 мес (новых платящих)</t>
        </is>
      </c>
      <c r="H93" s="74">
        <f>SUM(H87:H92)</f>
        <v/>
      </c>
    </row>
    <row r="96">
      <c r="A96" s="3" t="inlineStr">
        <is>
          <t>РАСХОЖДЕНИЕ С ФИНПЛАНОМ (лист 15)</t>
        </is>
      </c>
    </row>
    <row r="98" ht="36" customHeight="1">
      <c r="A98" s="8" t="inlineStr">
        <is>
          <t>Месяц</t>
        </is>
      </c>
      <c r="B98" s="8" t="inlineStr">
        <is>
          <t>По финплану</t>
        </is>
      </c>
      <c r="C98" s="8" t="inlineStr">
        <is>
          <t>По воронке Direct 100К</t>
        </is>
      </c>
      <c r="D98" s="8" t="inlineStr">
        <is>
          <t>Дельта</t>
        </is>
      </c>
      <c r="E98" s="8" t="inlineStr">
        <is>
          <t>Что компенсирует</t>
        </is>
      </c>
    </row>
    <row r="99">
      <c r="A99" s="33" t="inlineStr">
        <is>
          <t>M1</t>
        </is>
      </c>
      <c r="B99" s="16" t="n">
        <v>0</v>
      </c>
      <c r="C99" s="16" t="n">
        <v>0</v>
      </c>
      <c r="D99" s="63" t="inlineStr">
        <is>
          <t>0</t>
        </is>
      </c>
      <c r="E99" s="2" t="inlineStr">
        <is>
          <t>—</t>
        </is>
      </c>
    </row>
    <row r="100">
      <c r="A100" s="33" t="inlineStr">
        <is>
          <t>M2</t>
        </is>
      </c>
      <c r="B100" s="16" t="n">
        <v>30</v>
      </c>
      <c r="C100" s="16" t="n">
        <v>3</v>
      </c>
      <c r="D100" s="72" t="inlineStr">
        <is>
          <t>−27</t>
        </is>
      </c>
      <c r="E100" s="2" t="inlineStr">
        <is>
          <t>Multi-channel + soft-launch buzz → 8-12</t>
        </is>
      </c>
    </row>
    <row r="101">
      <c r="A101" s="33" t="inlineStr">
        <is>
          <t>M3</t>
        </is>
      </c>
      <c r="B101" s="16" t="n">
        <v>80</v>
      </c>
      <c r="C101" s="16" t="n">
        <v>5</v>
      </c>
      <c r="D101" s="72" t="inlineStr">
        <is>
          <t>−75</t>
        </is>
      </c>
      <c r="E101" s="2" t="inlineStr">
        <is>
          <t>VC.ru/Habr статья + первые кейсы → 25-35</t>
        </is>
      </c>
    </row>
    <row r="102">
      <c r="A102" s="33" t="inlineStr">
        <is>
          <t>M4</t>
        </is>
      </c>
      <c r="B102" s="16" t="n">
        <v>150</v>
      </c>
      <c r="C102" s="16" t="n">
        <v>7</v>
      </c>
      <c r="D102" s="72" t="inlineStr">
        <is>
          <t>−143</t>
        </is>
      </c>
      <c r="E102" s="2" t="inlineStr">
        <is>
          <t>Vertical lendings + B2B sales → 65-85</t>
        </is>
      </c>
    </row>
    <row r="103">
      <c r="A103" s="33" t="inlineStr">
        <is>
          <t>M5</t>
        </is>
      </c>
      <c r="B103" s="16" t="n">
        <v>250</v>
      </c>
      <c r="C103" s="16" t="n">
        <v>11</v>
      </c>
      <c r="D103" s="72" t="inlineStr">
        <is>
          <t>−240</t>
        </is>
      </c>
      <c r="E103" s="2" t="inlineStr">
        <is>
          <t>Retargeting + узнаваемость → 150-180</t>
        </is>
      </c>
    </row>
    <row r="104">
      <c r="A104" s="33" t="inlineStr">
        <is>
          <t>M6</t>
        </is>
      </c>
      <c r="B104" s="16" t="n">
        <v>380</v>
      </c>
      <c r="C104" s="16" t="n">
        <v>15</v>
      </c>
      <c r="D104" s="72" t="inlineStr">
        <is>
          <t>−365</t>
        </is>
      </c>
      <c r="E104" s="2" t="inlineStr">
        <is>
          <t>Зрелая воронка → 280-320</t>
        </is>
      </c>
    </row>
    <row r="105">
      <c r="A105" s="33" t="inlineStr">
        <is>
          <t>M7+</t>
        </is>
      </c>
      <c r="B105" s="71" t="inlineStr">
        <is>
          <t>540+</t>
        </is>
      </c>
      <c r="C105" s="71" t="inlineStr">
        <is>
          <t>20-30</t>
        </is>
      </c>
      <c r="D105" s="63" t="inlineStr">
        <is>
          <t>догоняет</t>
        </is>
      </c>
      <c r="E105" s="2" t="inlineStr">
        <is>
          <t>Бренд + кейсы + органика</t>
        </is>
      </c>
    </row>
    <row r="108" ht="60" customHeight="1">
      <c r="A108" s="75" t="inlineStr">
        <is>
          <t>ВЫВОД: 100К ₽ ТОЛЬКО на ЧИСТЫХ запросах в Direct в первый месяц = 3 платящих (vs 1 на грязном ядре). Грязные запросы (тильда / создать сайт / сайт бесплатно) — это freebie hunters и loyalty конкурентов, downstream conversion 0.5-1%. На чистых vertical / AI / pain ключах CV лендинга +60% и Trial→Paid +20%. Финплан М2=30 требует мульти-канал (Direct 60К + VK 25К + Telegram 15К → 8-12) + buzz (VC.ru → +14).</t>
        </is>
      </c>
    </row>
  </sheetData>
  <mergeCells count="1">
    <mergeCell ref="A108:I10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2026-05-06T11:30:08Z</dcterms:created>
  <dcterms:modified xsi:type="dcterms:W3CDTF">2026-05-06T11:30:08Z</dcterms:modified>
</cp:coreProperties>
</file>