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break-even" sheetId="14" state="visible" r:id="rId14"/>
    <sheet name="15. Lean финмодель 18м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6" fillId="5" borderId="0" pivotButton="0" quotePrefix="0" xfId="0"/>
    <xf numFmtId="165" fontId="6" fillId="0" borderId="0" pivotButton="0" quotePrefix="0" xfId="0"/>
    <xf numFmtId="0" fontId="6" fillId="6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Cost ₽/M = (input × output_share + output × output_share) × FX. Retail ₽/M = cost × markup.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Retail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Себест. ₽/msg</t>
        </is>
      </c>
      <c r="C4" s="8" t="inlineStr">
        <is>
          <t>Retail ₽/msg</t>
        </is>
      </c>
      <c r="D4" s="8" t="inlineStr">
        <is>
          <t>Маржа ₽/msg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Retail-цена что заплатит пользователь ·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Себест. ₽/msg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Retail ₽/msg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cost/msg</t>
        </is>
      </c>
      <c r="C11" s="8" t="inlineStr">
        <is>
          <t>С кешем · cost/msg</t>
        </is>
      </c>
      <c r="D11" s="8" t="inlineStr">
        <is>
          <t>Экономия %</t>
        </is>
      </c>
      <c r="E11" s="8" t="inlineStr">
        <is>
          <t>Без · retail/msg</t>
        </is>
      </c>
      <c r="F11" s="8" t="inlineStr">
        <is>
          <t>С · retail/msg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Capex (железо)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Opex /мес (электр., охлаждение, амортизация 5y)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Throughput на 1 GPU, msg/час (8K токенов)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Активный uptime, ч/мес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Capacity Qwen msg/мес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Стоимость нам Qwen ₽/msg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break-even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break-even.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break-even — однозначно ставить.</t>
        </is>
      </c>
    </row>
    <row r="31" ht="22" customHeight="1">
      <c r="A31" s="6" t="inlineStr">
        <is>
          <t>• По плану на M15: ~1 000 платящих → break-even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break-even)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9" t="inlineStr">
        <is>
          <t>Разработка</t>
        </is>
      </c>
      <c r="B8" s="17" t="n">
        <v>300000</v>
      </c>
      <c r="C8" s="44" t="inlineStr">
        <is>
          <t>1 senior dev или 2 mid (founder + 1 hire). Ремонт + новые фичи.</t>
        </is>
      </c>
    </row>
    <row r="9">
      <c r="A9" s="22" t="inlineStr">
        <is>
          <t>ИТОГО ПОСТОЯННЫХ</t>
        </is>
      </c>
      <c r="B9" s="45">
        <f>SUM(B7:B8)</f>
        <v/>
      </c>
      <c r="C9" s="15" t="n"/>
    </row>
    <row r="11">
      <c r="A11" s="3" t="inlineStr">
        <is>
          <t>ПОЧЕМУ НЕТ СЕРВЕРОВ И ДОМЕНОВ?</t>
        </is>
      </c>
    </row>
    <row r="12" ht="22" customHeight="1">
      <c r="A12" s="6" t="inlineStr">
        <is>
          <t>Серверум (аренда сервера для сайта клиента) и домен + HTTPS включены в подписку клиента → переменные затраты, не наши fixed.</t>
        </is>
      </c>
    </row>
    <row r="13" ht="22" customHeight="1">
      <c r="A13" s="6" t="inlineStr">
        <is>
          <t>Логика: мы платим Серверум за каждый клиентский VPS, добавляем эту сумму в стоимость тарифа → сразу окупаем при первом платеже.</t>
        </is>
      </c>
    </row>
    <row r="14" ht="22" customHeight="1">
      <c r="A14" s="6" t="inlineStr">
        <is>
          <t>Наша собственная инфра (omnia.ai домен, control-plane если будет) пока в рамках 300к разработки — учли в FOT.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ARPU средневзв.,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GM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GM ratio (от MRR)</t>
        </is>
      </c>
      <c r="B17" s="50">
        <f>B16/B15</f>
        <v/>
      </c>
    </row>
    <row r="20">
      <c r="A20" s="3" t="inlineStr">
        <is>
          <t>BREAK-EVEN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MRR break-even,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ARPU ₽</t>
        </is>
      </c>
      <c r="G29" s="8" t="inlineStr">
        <is>
          <t>GM/cust ₽</t>
        </is>
      </c>
      <c r="H29" s="8" t="inlineStr">
        <is>
          <t>Break-even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break-even ≈ 280 платящих. При премиум-tilt — всего ~145.</t>
        </is>
      </c>
    </row>
    <row r="38">
      <c r="A38" s="2" t="inlineStr">
        <is>
          <t>vs v2 business plan (с маркетингом и FOT 3.5М/мес): break-even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18 месяцев · lean opex (385 К/мес постоянных)</t>
        </is>
      </c>
    </row>
    <row r="2" ht="32" customHeight="1">
      <c r="A2" s="2" t="inlineStr">
        <is>
          <t>Burn до break-even ~3.2 М ₽. EBITDA положительный с M11. Накопленный кэш &gt; 0 с M16.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0</v>
      </c>
      <c r="D5" s="56" t="n">
        <v>0</v>
      </c>
      <c r="E5" s="56" t="n">
        <v>5</v>
      </c>
      <c r="F5" s="56" t="n">
        <v>15</v>
      </c>
      <c r="G5" s="56" t="n">
        <v>35</v>
      </c>
      <c r="H5" s="56" t="n">
        <v>60</v>
      </c>
      <c r="I5" s="56" t="n">
        <v>120</v>
      </c>
      <c r="J5" s="56" t="n">
        <v>200</v>
      </c>
      <c r="K5" s="56" t="n">
        <v>320</v>
      </c>
      <c r="L5" s="56" t="n">
        <v>480</v>
      </c>
      <c r="M5" s="56" t="n">
        <v>680</v>
      </c>
      <c r="N5" s="56" t="n">
        <v>920</v>
      </c>
      <c r="O5" s="56" t="n">
        <v>1180</v>
      </c>
      <c r="P5" s="56" t="n">
        <v>1450</v>
      </c>
      <c r="Q5" s="56" t="n">
        <v>1750</v>
      </c>
      <c r="R5" s="56" t="n">
        <v>2050</v>
      </c>
      <c r="S5" s="56" t="n">
        <v>2350</v>
      </c>
    </row>
    <row r="6">
      <c r="A6" s="4" t="inlineStr">
        <is>
          <t>ARPU средневзв., ₽/мес</t>
        </is>
      </c>
      <c r="B6" s="57" t="n">
        <v>990</v>
      </c>
      <c r="C6" s="57" t="n">
        <v>990</v>
      </c>
      <c r="D6" s="57" t="n">
        <v>990</v>
      </c>
      <c r="E6" s="57" t="n">
        <v>990</v>
      </c>
      <c r="F6" s="57" t="n">
        <v>1100</v>
      </c>
      <c r="G6" s="57" t="n">
        <v>1200</v>
      </c>
      <c r="H6" s="57" t="n">
        <v>1400</v>
      </c>
      <c r="I6" s="57" t="n">
        <v>1700</v>
      </c>
      <c r="J6" s="57" t="n">
        <v>2000</v>
      </c>
      <c r="K6" s="57" t="n">
        <v>2300</v>
      </c>
      <c r="L6" s="57" t="n">
        <v>2600</v>
      </c>
      <c r="M6" s="57" t="n">
        <v>2900</v>
      </c>
      <c r="N6" s="57" t="n">
        <v>3150</v>
      </c>
      <c r="O6" s="57" t="n">
        <v>3400</v>
      </c>
      <c r="P6" s="57" t="n">
        <v>3650</v>
      </c>
      <c r="Q6" s="57" t="n">
        <v>3850</v>
      </c>
      <c r="R6" s="57" t="n">
        <v>3950</v>
      </c>
      <c r="S6" s="57" t="n">
        <v>4080</v>
      </c>
    </row>
    <row r="7">
      <c r="A7" s="33" t="inlineStr">
        <is>
          <t>MRR,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</row>
    <row r="8">
      <c r="A8" s="4" t="inlineStr">
        <is>
          <t>GM ratio</t>
        </is>
      </c>
      <c r="B8" s="58" t="n">
        <v>0.53</v>
      </c>
      <c r="C8" s="58" t="n">
        <v>0.53</v>
      </c>
      <c r="D8" s="58" t="n">
        <v>0.53</v>
      </c>
      <c r="E8" s="58" t="n">
        <v>0.53</v>
      </c>
      <c r="F8" s="58" t="n">
        <v>0.52</v>
      </c>
      <c r="G8" s="58" t="n">
        <v>0.5</v>
      </c>
      <c r="H8" s="58" t="n">
        <v>0.48</v>
      </c>
      <c r="I8" s="58" t="n">
        <v>0.46</v>
      </c>
      <c r="J8" s="58" t="n">
        <v>0.44</v>
      </c>
      <c r="K8" s="58" t="n">
        <v>0.42</v>
      </c>
      <c r="L8" s="58" t="n">
        <v>0.4</v>
      </c>
      <c r="M8" s="58" t="n">
        <v>0.38</v>
      </c>
      <c r="N8" s="58" t="n">
        <v>0.37</v>
      </c>
      <c r="O8" s="58" t="n">
        <v>0.36</v>
      </c>
      <c r="P8" s="58" t="n">
        <v>0.35</v>
      </c>
      <c r="Q8" s="58" t="n">
        <v>0.34</v>
      </c>
      <c r="R8" s="58" t="n">
        <v>0.34</v>
      </c>
      <c r="S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</row>
    <row r="12">
      <c r="A12" s="4" t="inlineStr">
        <is>
          <t>OPEX: Разработка, ₽</t>
        </is>
      </c>
      <c r="B12" s="43" t="n">
        <v>300000</v>
      </c>
      <c r="C12" s="43" t="n">
        <v>300000</v>
      </c>
      <c r="D12" s="43" t="n">
        <v>300000</v>
      </c>
      <c r="E12" s="43" t="n">
        <v>300000</v>
      </c>
      <c r="F12" s="43" t="n">
        <v>300000</v>
      </c>
      <c r="G12" s="43" t="n">
        <v>300000</v>
      </c>
      <c r="H12" s="43" t="n">
        <v>300000</v>
      </c>
      <c r="I12" s="43" t="n">
        <v>300000</v>
      </c>
      <c r="J12" s="43" t="n">
        <v>300000</v>
      </c>
      <c r="K12" s="43" t="n">
        <v>300000</v>
      </c>
      <c r="L12" s="43" t="n">
        <v>300000</v>
      </c>
      <c r="M12" s="43" t="n">
        <v>300000</v>
      </c>
      <c r="N12" s="43" t="n">
        <v>300000</v>
      </c>
      <c r="O12" s="43" t="n">
        <v>300000</v>
      </c>
      <c r="P12" s="43" t="n">
        <v>300000</v>
      </c>
      <c r="Q12" s="43" t="n">
        <v>300000</v>
      </c>
      <c r="R12" s="43" t="n">
        <v>300000</v>
      </c>
      <c r="S12" s="43" t="n">
        <v>300000</v>
      </c>
    </row>
    <row r="13">
      <c r="A13" s="33" t="inlineStr">
        <is>
          <t>ИТОГО OPEX, ₽</t>
        </is>
      </c>
      <c r="B13" s="59">
        <f>SUM(B11:B12)</f>
        <v/>
      </c>
      <c r="C13" s="59">
        <f>SUM(C11:C12)</f>
        <v/>
      </c>
      <c r="D13" s="59">
        <f>SUM(D11:D12)</f>
        <v/>
      </c>
      <c r="E13" s="59">
        <f>SUM(E11:E12)</f>
        <v/>
      </c>
      <c r="F13" s="59">
        <f>SUM(F11:F12)</f>
        <v/>
      </c>
      <c r="G13" s="59">
        <f>SUM(G11:G12)</f>
        <v/>
      </c>
      <c r="H13" s="59">
        <f>SUM(H11:H12)</f>
        <v/>
      </c>
      <c r="I13" s="59">
        <f>SUM(I11:I12)</f>
        <v/>
      </c>
      <c r="J13" s="59">
        <f>SUM(J11:J12)</f>
        <v/>
      </c>
      <c r="K13" s="59">
        <f>SUM(K11:K12)</f>
        <v/>
      </c>
      <c r="L13" s="59">
        <f>SUM(L11:L12)</f>
        <v/>
      </c>
      <c r="M13" s="59">
        <f>SUM(M11:M12)</f>
        <v/>
      </c>
      <c r="N13" s="59">
        <f>SUM(N11:N12)</f>
        <v/>
      </c>
      <c r="O13" s="59">
        <f>SUM(O11:O12)</f>
        <v/>
      </c>
      <c r="P13" s="59">
        <f>SUM(P11:P12)</f>
        <v/>
      </c>
      <c r="Q13" s="59">
        <f>SUM(Q11:Q12)</f>
        <v/>
      </c>
      <c r="R13" s="59">
        <f>SUM(R11:R12)</f>
        <v/>
      </c>
      <c r="S13" s="59">
        <f>SUM(S11:S12)</f>
        <v/>
      </c>
    </row>
    <row r="15">
      <c r="A15" s="33" t="inlineStr">
        <is>
          <t>EBITDA, ₽</t>
        </is>
      </c>
      <c r="B15" s="60">
        <f>B9-B13</f>
        <v/>
      </c>
      <c r="C15" s="60">
        <f>C9-C13</f>
        <v/>
      </c>
      <c r="D15" s="60">
        <f>D9-D13</f>
        <v/>
      </c>
      <c r="E15" s="60">
        <f>E9-E13</f>
        <v/>
      </c>
      <c r="F15" s="60">
        <f>F9-F13</f>
        <v/>
      </c>
      <c r="G15" s="60">
        <f>G9-G13</f>
        <v/>
      </c>
      <c r="H15" s="60">
        <f>H9-H13</f>
        <v/>
      </c>
      <c r="I15" s="60">
        <f>I9-I13</f>
        <v/>
      </c>
      <c r="J15" s="60">
        <f>J9-J13</f>
        <v/>
      </c>
      <c r="K15" s="60">
        <f>K9-K13</f>
        <v/>
      </c>
      <c r="L15" s="60">
        <f>L9-L13</f>
        <v/>
      </c>
      <c r="M15" s="60">
        <f>M9-M13</f>
        <v/>
      </c>
      <c r="N15" s="60">
        <f>N9-N13</f>
        <v/>
      </c>
      <c r="O15" s="60">
        <f>O9-O13</f>
        <v/>
      </c>
      <c r="P15" s="60">
        <f>P9-P13</f>
        <v/>
      </c>
      <c r="Q15" s="60">
        <f>Q9-Q13</f>
        <v/>
      </c>
      <c r="R15" s="60">
        <f>R9-R13</f>
        <v/>
      </c>
      <c r="S15" s="60">
        <f>S9-S13</f>
        <v/>
      </c>
    </row>
    <row r="16">
      <c r="A16" s="33" t="inlineStr">
        <is>
          <t>Накопленный кэш (старт 30к ₽), ₽</t>
        </is>
      </c>
      <c r="B16" s="60">
        <f>30000+B15</f>
        <v/>
      </c>
      <c r="C16" s="49">
        <f>B16+C15</f>
        <v/>
      </c>
      <c r="D16" s="49">
        <f>C16+D15</f>
        <v/>
      </c>
      <c r="E16" s="49">
        <f>D16+E15</f>
        <v/>
      </c>
      <c r="F16" s="49">
        <f>E16+F15</f>
        <v/>
      </c>
      <c r="G16" s="49">
        <f>F16+G15</f>
        <v/>
      </c>
      <c r="H16" s="49">
        <f>G16+H15</f>
        <v/>
      </c>
      <c r="I16" s="49">
        <f>H16+I15</f>
        <v/>
      </c>
      <c r="J16" s="49">
        <f>I16+J15</f>
        <v/>
      </c>
      <c r="K16" s="49">
        <f>J16+K15</f>
        <v/>
      </c>
      <c r="L16" s="49">
        <f>K16+L15</f>
        <v/>
      </c>
      <c r="M16" s="49">
        <f>L16+M15</f>
        <v/>
      </c>
      <c r="N16" s="49">
        <f>M16+N15</f>
        <v/>
      </c>
      <c r="O16" s="49">
        <f>N16+O15</f>
        <v/>
      </c>
      <c r="P16" s="49">
        <f>O16+P15</f>
        <v/>
      </c>
      <c r="Q16" s="49">
        <f>P16+Q15</f>
        <v/>
      </c>
      <c r="R16" s="49">
        <f>Q16+R15</f>
        <v/>
      </c>
      <c r="S16" s="49">
        <f>R16+S15</f>
        <v/>
      </c>
    </row>
    <row r="19">
      <c r="A19" s="3" t="inlineStr">
        <is>
          <t>SUMMARY</t>
        </is>
      </c>
    </row>
    <row r="20">
      <c r="A20" s="4" t="inlineStr">
        <is>
          <t>MRR на M18, ₽</t>
        </is>
      </c>
      <c r="B20" s="53">
        <f>S7</f>
        <v/>
      </c>
    </row>
    <row r="21">
      <c r="A21" s="4" t="inlineStr">
        <is>
          <t>ARR на M18, ₽</t>
        </is>
      </c>
      <c r="B21" s="53">
        <f>S7*12</f>
        <v/>
      </c>
    </row>
    <row r="22">
      <c r="A22" s="4" t="inlineStr">
        <is>
          <t>Накопленный кэш на M18, ₽</t>
        </is>
      </c>
      <c r="B22" s="53">
        <f>S16</f>
        <v/>
      </c>
    </row>
    <row r="23">
      <c r="A23" s="4" t="inlineStr">
        <is>
          <t>Min cash (наибольший провал), ₽</t>
        </is>
      </c>
      <c r="B23" s="59">
        <f>MIN(B16:S16)</f>
        <v/>
      </c>
    </row>
    <row r="24">
      <c r="A24" s="4" t="inlineStr">
        <is>
          <t>Месяц первого положительного EBITDA</t>
        </is>
      </c>
      <c r="B24" s="2" t="inlineStr">
        <is>
          <t>M11 (по плану)</t>
        </is>
      </c>
    </row>
    <row r="25">
      <c r="A25" s="4" t="inlineStr">
        <is>
          <t>Месяц recoup (накопленный кэш &gt; 0)</t>
        </is>
      </c>
      <c r="B25" s="2" t="inlineStr">
        <is>
          <t>M15 (по плану, +0.45 М)</t>
        </is>
      </c>
    </row>
    <row r="27">
      <c r="A27" s="3" t="inlineStr">
        <is>
          <t>vs v2 plan (FOT 3.5М/мес):</t>
        </is>
      </c>
    </row>
    <row r="29">
      <c r="A29" s="4" t="inlineStr">
        <is>
          <t>Постоянный OPEX/мес</t>
        </is>
      </c>
      <c r="B29" s="61" t="inlineStr">
        <is>
          <t>330 000 ₽</t>
        </is>
      </c>
      <c r="C29" s="62" t="inlineStr">
        <is>
          <t>3 500 000 ₽</t>
        </is>
      </c>
      <c r="D29" s="4" t="inlineStr">
        <is>
          <t>−91%</t>
        </is>
      </c>
    </row>
    <row r="30">
      <c r="A30" s="4" t="inlineStr">
        <is>
          <t>Break-even клиентов</t>
        </is>
      </c>
      <c r="B30" s="61" t="inlineStr">
        <is>
          <t>~239</t>
        </is>
      </c>
      <c r="C30" s="62" t="inlineStr">
        <is>
          <t>~860</t>
        </is>
      </c>
      <c r="D30" s="4" t="inlineStr">
        <is>
          <t>−72%</t>
        </is>
      </c>
    </row>
    <row r="31">
      <c r="A31" s="4" t="inlineStr">
        <is>
          <t>Min cash (худший провал)</t>
        </is>
      </c>
      <c r="B31" s="61" t="inlineStr">
        <is>
          <t>~2.65 М ₽</t>
        </is>
      </c>
      <c r="C31" s="62" t="inlineStr">
        <is>
          <t>~28 М ₽</t>
        </is>
      </c>
      <c r="D31" s="4" t="inlineStr">
        <is>
          <t>−91%</t>
        </is>
      </c>
    </row>
    <row r="32">
      <c r="A32" s="4" t="inlineStr">
        <is>
          <t>Bootstrap-friendly</t>
        </is>
      </c>
      <c r="B32" s="61" t="inlineStr">
        <is>
          <t>Да (с буфером 3-4 М)</t>
        </is>
      </c>
      <c r="C32" s="62" t="inlineStr">
        <is>
          <t>Нужен ангел 10М+</t>
        </is>
      </c>
      <c r="D32" s="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2026-05-05T18:36:42Z</dcterms:created>
  <dcterms:modified xsi:type="dcterms:W3CDTF">2026-05-05T18:36:42Z</dcterms:modified>
</cp:coreProperties>
</file>