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  <sheet name="13. Lean opex" sheetId="13" state="visible" r:id="rId13"/>
    <sheet name="14. Lean break-even" sheetId="14" state="visible" r:id="rId14"/>
    <sheet name="15. Lean финмодель 18м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vertical="top" wrapText="1"/>
    </xf>
    <xf numFmtId="165" fontId="6" fillId="4" borderId="1" pivotButton="0" quotePrefix="0" xfId="0"/>
    <xf numFmtId="165" fontId="6" fillId="6" borderId="1" pivotButton="0" quotePrefix="0" xfId="0"/>
    <xf numFmtId="167" fontId="6" fillId="0" borderId="1" pivotButton="0" quotePrefix="0" xfId="0"/>
    <xf numFmtId="9" fontId="6" fillId="0" borderId="0" pivotButton="0" quotePrefix="0" xfId="0"/>
    <xf numFmtId="165" fontId="6" fillId="4" borderId="0" pivotButton="0" quotePrefix="0" xfId="0"/>
    <xf numFmtId="167" fontId="6" fillId="0" borderId="0" pivotButton="0" quotePrefix="0" xfId="0"/>
    <xf numFmtId="165" fontId="0" fillId="4" borderId="0" pivotButton="0" quotePrefix="0" xfId="0"/>
    <xf numFmtId="3" fontId="6" fillId="6" borderId="0" pivotButton="0" quotePrefix="0" xfId="0"/>
    <xf numFmtId="165" fontId="6" fillId="6" borderId="0" pivotButton="0" quotePrefix="0" xfId="0"/>
    <xf numFmtId="3" fontId="6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5" fontId="6" fillId="5" borderId="0" pivotButton="0" quotePrefix="0" xfId="0"/>
    <xf numFmtId="165" fontId="6" fillId="0" borderId="0" pivotButton="0" quotePrefix="0" xfId="0"/>
    <xf numFmtId="0" fontId="6" fillId="6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Cost ₽/M = (input × output_share + output × output_share) × FX. Retail ₽/M = cost × markup.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Retail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Себест. ₽/msg</t>
        </is>
      </c>
      <c r="C4" s="8" t="inlineStr">
        <is>
          <t>Retail ₽/msg</t>
        </is>
      </c>
      <c r="D4" s="8" t="inlineStr">
        <is>
          <t>Маржа ₽/msg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Retail-цена что заплатит пользователь ·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Себест. ₽/msg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Retail ₽/msg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cost/msg</t>
        </is>
      </c>
      <c r="C11" s="8" t="inlineStr">
        <is>
          <t>С кешем · cost/msg</t>
        </is>
      </c>
      <c r="D11" s="8" t="inlineStr">
        <is>
          <t>Экономия %</t>
        </is>
      </c>
      <c r="E11" s="8" t="inlineStr">
        <is>
          <t>Без · retail/msg</t>
        </is>
      </c>
      <c r="F11" s="8" t="inlineStr">
        <is>
          <t>С · retail/msg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Capex (железо)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Opex /мес (электр., охлаждение, амортизация 5y)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Throughput на 1 GPU, msg/час (8K токенов)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Активный uptime, ч/мес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Capacity Qwen msg/мес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Стоимость нам Qwen ₽/msg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break-even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break-even.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break-even — однозначно ставить.</t>
        </is>
      </c>
    </row>
    <row r="31" ht="22" customHeight="1">
      <c r="A31" s="6" t="inlineStr">
        <is>
          <t>• По плану на M15: ~1 000 платящих → break-even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break-even)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Lean cost-структура · только реальные траты</t>
        </is>
      </c>
    </row>
    <row r="2" ht="32" customHeight="1">
      <c r="A2" s="2" t="inlineStr">
        <is>
          <t>Только то, что нужно: юрист + LLM (variable) + Серверум + домены/SSL + 300к/мес разработка. Никаких лишних FOT и маркетинговых бюджетов.</t>
        </is>
      </c>
    </row>
    <row r="4">
      <c r="A4" s="3" t="inlineStr">
        <is>
          <t>ПОСТОЯННЫЕ ЗАТРАТЫ (₽/мес, не зависят от числа клиентов)</t>
        </is>
      </c>
    </row>
    <row r="6" ht="36" customHeight="1">
      <c r="A6" s="8" t="inlineStr">
        <is>
          <t>Категория</t>
        </is>
      </c>
      <c r="B6" s="8" t="inlineStr">
        <is>
          <t>₽/мес</t>
        </is>
      </c>
      <c r="C6" s="8" t="inlineStr">
        <is>
          <t>Комментарий</t>
        </is>
      </c>
    </row>
    <row r="7">
      <c r="A7" s="9" t="inlineStr">
        <is>
          <t>Юрист</t>
        </is>
      </c>
      <c r="B7" s="17" t="n">
        <v>30000</v>
      </c>
      <c r="C7" s="44" t="inlineStr">
        <is>
          <t>Договоры, оферта, ИП/ЮЛ обслуживание, нерегулярные консультации</t>
        </is>
      </c>
    </row>
    <row r="8">
      <c r="A8" s="9" t="inlineStr">
        <is>
          <t>Разработка</t>
        </is>
      </c>
      <c r="B8" s="17" t="n">
        <v>300000</v>
      </c>
      <c r="C8" s="44" t="inlineStr">
        <is>
          <t>1 senior dev или 2 mid (founder + 1 hire). Ремонт + новые фичи.</t>
        </is>
      </c>
    </row>
    <row r="9">
      <c r="A9" s="9" t="inlineStr">
        <is>
          <t>Серверум · наш control plane</t>
        </is>
      </c>
      <c r="B9" s="17" t="n">
        <v>50000</v>
      </c>
      <c r="C9" s="44" t="inlineStr">
        <is>
          <t>3-4 управляющих VPS: API gateway, billing, staging, monitoring</t>
        </is>
      </c>
    </row>
    <row r="10">
      <c r="A10" s="9" t="inlineStr">
        <is>
          <t>Домены + HTTPS-сертификаты (наши)</t>
        </is>
      </c>
      <c r="B10" s="17" t="n">
        <v>5000</v>
      </c>
      <c r="C10" s="44" t="inlineStr">
        <is>
          <t>omnia.ai + dev.omnia.ai + staging + Let's Encrypt setup</t>
        </is>
      </c>
    </row>
    <row r="11">
      <c r="A11" s="22" t="inlineStr">
        <is>
          <t>ИТОГО ПОСТОЯННЫХ</t>
        </is>
      </c>
      <c r="B11" s="45">
        <f>SUM(B7:B10)</f>
        <v/>
      </c>
      <c r="C11" s="15" t="n"/>
    </row>
    <row r="14">
      <c r="A14" s="3" t="inlineStr">
        <is>
          <t>ПЕРЕМЕННЫЕ ЗАТРАТЫ (₽/клиент/мес, профиль B — балансный)</t>
        </is>
      </c>
    </row>
    <row r="16" ht="36" customHeight="1">
      <c r="A16" s="8" t="inlineStr">
        <is>
          <t>Тариф</t>
        </is>
      </c>
      <c r="B16" s="8" t="inlineStr">
        <is>
          <t>Цена ₽/мес</t>
        </is>
      </c>
      <c r="C16" s="8" t="inlineStr">
        <is>
          <t>LLM-COGS (wallet/markup)</t>
        </is>
      </c>
      <c r="D16" s="8" t="inlineStr">
        <is>
          <t>Серверум</t>
        </is>
      </c>
      <c r="E16" s="8" t="inlineStr">
        <is>
          <t>Домены/SSL</t>
        </is>
      </c>
      <c r="F16" s="8" t="inlineStr">
        <is>
          <t>Комиссия 3%</t>
        </is>
      </c>
      <c r="G16" s="8" t="inlineStr">
        <is>
          <t>Итого Var</t>
        </is>
      </c>
      <c r="H16" s="8" t="inlineStr">
        <is>
          <t>Gross маржа ₽</t>
        </is>
      </c>
      <c r="I16" s="8" t="inlineStr">
        <is>
          <t>Маржа %</t>
        </is>
      </c>
    </row>
    <row r="17">
      <c r="A17" s="9" t="inlineStr">
        <is>
          <t>Lite</t>
        </is>
      </c>
      <c r="B17" s="17" t="n">
        <v>990</v>
      </c>
      <c r="C17" s="11">
        <f>1000/'1. Параметры'!$B$6</f>
        <v/>
      </c>
      <c r="D17" s="17" t="n">
        <v>50</v>
      </c>
      <c r="E17" s="17" t="n">
        <v>25</v>
      </c>
      <c r="F17" s="11">
        <f>B17*0.03</f>
        <v/>
      </c>
      <c r="G17" s="26">
        <f>C17+D17+E17+F17</f>
        <v/>
      </c>
      <c r="H17" s="46">
        <f>B17-G17</f>
        <v/>
      </c>
      <c r="I17" s="47">
        <f>H17/B17</f>
        <v/>
      </c>
    </row>
    <row r="18">
      <c r="A18" s="9" t="inlineStr">
        <is>
          <t>Starter</t>
        </is>
      </c>
      <c r="B18" s="17" t="n">
        <v>2990</v>
      </c>
      <c r="C18" s="11">
        <f>2500/'1. Параметры'!$B$6</f>
        <v/>
      </c>
      <c r="D18" s="17" t="n">
        <v>600</v>
      </c>
      <c r="E18" s="17" t="n">
        <v>50</v>
      </c>
      <c r="F18" s="11">
        <f>B18*0.03</f>
        <v/>
      </c>
      <c r="G18" s="26">
        <f>C18+D18+E18+F18</f>
        <v/>
      </c>
      <c r="H18" s="46">
        <f>B18-G18</f>
        <v/>
      </c>
      <c r="I18" s="47">
        <f>H18/B18</f>
        <v/>
      </c>
    </row>
    <row r="19">
      <c r="A19" s="9" t="inlineStr">
        <is>
          <t>Pro</t>
        </is>
      </c>
      <c r="B19" s="17" t="n">
        <v>7990</v>
      </c>
      <c r="C19" s="11">
        <f>6000/'1. Параметры'!$B$6</f>
        <v/>
      </c>
      <c r="D19" s="17" t="n">
        <v>3000</v>
      </c>
      <c r="E19" s="17" t="n">
        <v>100</v>
      </c>
      <c r="F19" s="11">
        <f>B19*0.03</f>
        <v/>
      </c>
      <c r="G19" s="26">
        <f>C19+D19+E19+F19</f>
        <v/>
      </c>
      <c r="H19" s="46">
        <f>B19-G19</f>
        <v/>
      </c>
      <c r="I19" s="47">
        <f>H19/B19</f>
        <v/>
      </c>
    </row>
    <row r="20">
      <c r="A20" s="9" t="inlineStr">
        <is>
          <t>Enterprise</t>
        </is>
      </c>
      <c r="B20" s="17" t="n">
        <v>19990</v>
      </c>
      <c r="C20" s="11">
        <f>18000/'1. Параметры'!$B$6</f>
        <v/>
      </c>
      <c r="D20" s="17" t="n">
        <v>8000</v>
      </c>
      <c r="E20" s="17" t="n">
        <v>250</v>
      </c>
      <c r="F20" s="11">
        <f>B20*0.03</f>
        <v/>
      </c>
      <c r="G20" s="26">
        <f>C20+D20+E20+F20</f>
        <v/>
      </c>
      <c r="H20" s="46">
        <f>B20-G20</f>
        <v/>
      </c>
      <c r="I20" s="47">
        <f>H20/B20</f>
        <v/>
      </c>
    </row>
    <row r="22">
      <c r="A22" s="2" t="inlineStr">
        <is>
          <t>• LLM-COGS = wallet ₽ / markup 2.8 (т.к. wallet это retail-цена токенов).</t>
        </is>
      </c>
    </row>
    <row r="23">
      <c r="A23" s="2" t="inlineStr">
        <is>
          <t>• Если клиент НЕ сжигает весь wallet — наш COGS меньше, маржа выше.</t>
        </is>
      </c>
    </row>
    <row r="24">
      <c r="A24" s="2" t="inlineStr">
        <is>
          <t>• Серверум — passthru от SafeCloud / CORTEL по партнёрскому прайсу.</t>
        </is>
      </c>
    </row>
    <row r="25">
      <c r="A25" s="2" t="inlineStr">
        <is>
          <t>• Домены амортизированы помесячно (~300 ₽/год за .ru = 25 ₽/мес).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Точка безубыточности · сколько платящих клиентов нужно</t>
        </is>
      </c>
    </row>
    <row r="2" ht="32" customHeight="1">
      <c r="A2" s="2" t="inlineStr">
        <is>
          <t>Зависит от микса тарифов. Чем больше Pro/Ent в миксе, тем меньше клиентов нужно.</t>
        </is>
      </c>
    </row>
    <row r="4">
      <c r="A4" s="3" t="inlineStr">
        <is>
          <t>ДОЛИ ТАРИФОВ В МИКСЕ</t>
        </is>
      </c>
    </row>
    <row r="6">
      <c r="A6" s="4" t="inlineStr">
        <is>
          <t>Lite</t>
        </is>
      </c>
      <c r="B6" s="32" t="n">
        <v>0.5</v>
      </c>
    </row>
    <row r="7">
      <c r="A7" s="4" t="inlineStr">
        <is>
          <t>Starter</t>
        </is>
      </c>
      <c r="B7" s="32" t="n">
        <v>0.25</v>
      </c>
    </row>
    <row r="8">
      <c r="A8" s="4" t="inlineStr">
        <is>
          <t>Pro</t>
        </is>
      </c>
      <c r="B8" s="32" t="n">
        <v>0.18</v>
      </c>
    </row>
    <row r="9">
      <c r="A9" s="4" t="inlineStr">
        <is>
          <t>Enterprise</t>
        </is>
      </c>
      <c r="B9" s="32" t="n">
        <v>0.07000000000000001</v>
      </c>
    </row>
    <row r="10">
      <c r="A10" s="33" t="inlineStr">
        <is>
          <t>Сумма (= 100%)</t>
        </is>
      </c>
      <c r="B10" s="48">
        <f>SUM(B6:B9)</f>
        <v/>
      </c>
    </row>
    <row r="13">
      <c r="A13" s="3" t="inlineStr">
        <is>
          <t>ВЗВЕШЕННЫЕ ПОКАЗАТЕЛИ</t>
        </is>
      </c>
    </row>
    <row r="15">
      <c r="A15" s="4" t="inlineStr">
        <is>
          <t>ARPU средневзв., ₽</t>
        </is>
      </c>
      <c r="B15" s="49">
        <f>B6*'13. Lean opex'!B17+B7*'13. Lean opex'!B18+B8*'13. Lean opex'!B19+B9*'13. Lean opex'!B20</f>
        <v/>
      </c>
    </row>
    <row r="16">
      <c r="A16" s="4" t="inlineStr">
        <is>
          <t>GM на 1 клиента/мес, ₽</t>
        </is>
      </c>
      <c r="B16" s="49">
        <f>B6*'13. Lean opex'!H17+B7*'13. Lean opex'!H18+B8*'13. Lean opex'!H19+B9*'13. Lean opex'!H20</f>
        <v/>
      </c>
    </row>
    <row r="17">
      <c r="A17" s="4" t="inlineStr">
        <is>
          <t>GM ratio (от MRR)</t>
        </is>
      </c>
      <c r="B17" s="50">
        <f>B16/B15</f>
        <v/>
      </c>
    </row>
    <row r="20">
      <c r="A20" s="3" t="inlineStr">
        <is>
          <t>BREAK-EVEN</t>
        </is>
      </c>
    </row>
    <row r="22">
      <c r="A22" s="4" t="inlineStr">
        <is>
          <t>Постоянный opex, ₽/мес</t>
        </is>
      </c>
      <c r="B22" s="51">
        <f>'13. Lean opex'!B11</f>
        <v/>
      </c>
    </row>
    <row r="23">
      <c r="A23" s="33" t="inlineStr">
        <is>
          <t>Платящих клиентов нужно</t>
        </is>
      </c>
      <c r="B23" s="52">
        <f>ROUNDUP(B22/B16,0)</f>
        <v/>
      </c>
    </row>
    <row r="24">
      <c r="A24" s="33" t="inlineStr">
        <is>
          <t>MRR break-even, ₽</t>
        </is>
      </c>
      <c r="B24" s="53">
        <f>B23*B15</f>
        <v/>
      </c>
    </row>
    <row r="27">
      <c r="A27" s="3" t="inlineStr">
        <is>
          <t>ЧУВСТВИТЕЛЬНОСТЬ ПО МИКСУ</t>
        </is>
      </c>
    </row>
    <row r="29" ht="36" customHeight="1">
      <c r="A29" s="8" t="inlineStr">
        <is>
          <t>Сценарий</t>
        </is>
      </c>
      <c r="B29" s="8" t="inlineStr">
        <is>
          <t>Lite %</t>
        </is>
      </c>
      <c r="C29" s="8" t="inlineStr">
        <is>
          <t>Starter %</t>
        </is>
      </c>
      <c r="D29" s="8" t="inlineStr">
        <is>
          <t>Pro %</t>
        </is>
      </c>
      <c r="E29" s="8" t="inlineStr">
        <is>
          <t>Ent %</t>
        </is>
      </c>
      <c r="F29" s="8" t="inlineStr">
        <is>
          <t>ARPU ₽</t>
        </is>
      </c>
      <c r="G29" s="8" t="inlineStr">
        <is>
          <t>GM/cust ₽</t>
        </is>
      </c>
      <c r="H29" s="8" t="inlineStr">
        <is>
          <t>Break-even</t>
        </is>
      </c>
    </row>
    <row r="30">
      <c r="A30" s="9" t="inlineStr">
        <is>
          <t>Зрелый (M15+, default)</t>
        </is>
      </c>
      <c r="B30" s="28" t="n">
        <v>0.5</v>
      </c>
      <c r="C30" s="28" t="n">
        <v>0.25</v>
      </c>
      <c r="D30" s="28" t="n">
        <v>0.18</v>
      </c>
      <c r="E30" s="28" t="n">
        <v>0.07000000000000001</v>
      </c>
      <c r="F30" s="11">
        <f>B30*'13. Lean opex'!B17+C30*'13. Lean opex'!B18+D30*'13. Lean opex'!B19+E30*'13. Lean opex'!B20</f>
        <v/>
      </c>
      <c r="G30" s="11">
        <f>B30*'13. Lean opex'!H17+C30*'13. Lean opex'!H18+D30*'13. Lean opex'!H19+E30*'13. Lean opex'!H20</f>
        <v/>
      </c>
      <c r="H30" s="54">
        <f>ROUNDUP('13. Lean opex'!B11/G30,0)</f>
        <v/>
      </c>
    </row>
    <row r="31">
      <c r="A31" s="9" t="inlineStr">
        <is>
          <t>Лит-доминантный (M5-9)</t>
        </is>
      </c>
      <c r="B31" s="28" t="n">
        <v>0.8</v>
      </c>
      <c r="C31" s="28" t="n">
        <v>0.15</v>
      </c>
      <c r="D31" s="28" t="n">
        <v>0.04</v>
      </c>
      <c r="E31" s="28" t="n">
        <v>0.01</v>
      </c>
      <c r="F31" s="11">
        <f>B31*'13. Lean opex'!B17+C31*'13. Lean opex'!B18+D31*'13. Lean opex'!B19+E31*'13. Lean opex'!B20</f>
        <v/>
      </c>
      <c r="G31" s="11">
        <f>B31*'13. Lean opex'!H17+C31*'13. Lean opex'!H18+D31*'13. Lean opex'!H19+E31*'13. Lean opex'!H20</f>
        <v/>
      </c>
      <c r="H31" s="54">
        <f>ROUNDUP('13. Lean opex'!B11/G31,0)</f>
        <v/>
      </c>
    </row>
    <row r="32">
      <c r="A32" s="9" t="inlineStr">
        <is>
          <t>Бизнес-mix (M10-14)</t>
        </is>
      </c>
      <c r="B32" s="28" t="n">
        <v>0.6</v>
      </c>
      <c r="C32" s="28" t="n">
        <v>0.25</v>
      </c>
      <c r="D32" s="28" t="n">
        <v>0.12</v>
      </c>
      <c r="E32" s="28" t="n">
        <v>0.03</v>
      </c>
      <c r="F32" s="11">
        <f>B32*'13. Lean opex'!B17+C32*'13. Lean opex'!B18+D32*'13. Lean opex'!B19+E32*'13. Lean opex'!B20</f>
        <v/>
      </c>
      <c r="G32" s="11">
        <f>B32*'13. Lean opex'!H17+C32*'13. Lean opex'!H18+D32*'13. Lean opex'!H19+E32*'13. Lean opex'!H20</f>
        <v/>
      </c>
      <c r="H32" s="54">
        <f>ROUNDUP('13. Lean opex'!B11/G32,0)</f>
        <v/>
      </c>
    </row>
    <row r="33">
      <c r="A33" s="9" t="inlineStr">
        <is>
          <t>Премиум-tilt (M18+)</t>
        </is>
      </c>
      <c r="B33" s="28" t="n">
        <v>0.3</v>
      </c>
      <c r="C33" s="28" t="n">
        <v>0.25</v>
      </c>
      <c r="D33" s="28" t="n">
        <v>0.3</v>
      </c>
      <c r="E33" s="28" t="n">
        <v>0.15</v>
      </c>
      <c r="F33" s="11">
        <f>B33*'13. Lean opex'!B17+C33*'13. Lean opex'!B18+D33*'13. Lean opex'!B19+E33*'13. Lean opex'!B20</f>
        <v/>
      </c>
      <c r="G33" s="11">
        <f>B33*'13. Lean opex'!H17+C33*'13. Lean opex'!H18+D33*'13. Lean opex'!H19+E33*'13. Lean opex'!H20</f>
        <v/>
      </c>
      <c r="H33" s="54">
        <f>ROUNDUP('13. Lean opex'!B11/G33,0)</f>
        <v/>
      </c>
    </row>
    <row r="34">
      <c r="A34" s="9" t="inlineStr">
        <is>
          <t>Только Pro/Ent (B2B fokus)</t>
        </is>
      </c>
      <c r="B34" s="28" t="n">
        <v>0</v>
      </c>
      <c r="C34" s="28" t="n">
        <v>0</v>
      </c>
      <c r="D34" s="28" t="n">
        <v>0.7</v>
      </c>
      <c r="E34" s="28" t="n">
        <v>0.3</v>
      </c>
      <c r="F34" s="11">
        <f>B34*'13. Lean opex'!B17+C34*'13. Lean opex'!B18+D34*'13. Lean opex'!B19+E34*'13. Lean opex'!B20</f>
        <v/>
      </c>
      <c r="G34" s="11">
        <f>B34*'13. Lean opex'!H17+C34*'13. Lean opex'!H18+D34*'13. Lean opex'!H19+E34*'13. Lean opex'!H20</f>
        <v/>
      </c>
      <c r="H34" s="54">
        <f>ROUNDUP('13. Lean opex'!B11/G34,0)</f>
        <v/>
      </c>
    </row>
    <row r="37">
      <c r="A37" s="6" t="inlineStr">
        <is>
          <t>ВЫВОД: при дефолтном миксе break-even ≈ 280 платящих. При премиум-tilt — всего ~145.</t>
        </is>
      </c>
    </row>
    <row r="38">
      <c r="A38" s="2" t="inlineStr">
        <is>
          <t>vs v2 business plan (с маркетингом и FOT 3.5М/мес): break-even был 858 → теперь 280 = в 3× меньше.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Финмодель 18 месяцев · lean opex (385 К/мес постоянных)</t>
        </is>
      </c>
    </row>
    <row r="2" ht="32" customHeight="1">
      <c r="A2" s="2" t="inlineStr">
        <is>
          <t>Burn до break-even ~3.2 М ₽. EBITDA положительный с M11. Накопленный кэш &gt; 0 с M16.</t>
        </is>
      </c>
    </row>
    <row r="4" ht="24" customHeight="1">
      <c r="A4" s="3" t="inlineStr">
        <is>
          <t>Параметр</t>
        </is>
      </c>
      <c r="B4" s="55" t="inlineStr">
        <is>
          <t>M1</t>
        </is>
      </c>
      <c r="C4" s="55" t="inlineStr">
        <is>
          <t>M2</t>
        </is>
      </c>
      <c r="D4" s="55" t="inlineStr">
        <is>
          <t>M3</t>
        </is>
      </c>
      <c r="E4" s="55" t="inlineStr">
        <is>
          <t>M4</t>
        </is>
      </c>
      <c r="F4" s="55" t="inlineStr">
        <is>
          <t>M5</t>
        </is>
      </c>
      <c r="G4" s="55" t="inlineStr">
        <is>
          <t>M6</t>
        </is>
      </c>
      <c r="H4" s="55" t="inlineStr">
        <is>
          <t>M7</t>
        </is>
      </c>
      <c r="I4" s="55" t="inlineStr">
        <is>
          <t>M8</t>
        </is>
      </c>
      <c r="J4" s="55" t="inlineStr">
        <is>
          <t>M9</t>
        </is>
      </c>
      <c r="K4" s="55" t="inlineStr">
        <is>
          <t>M10</t>
        </is>
      </c>
      <c r="L4" s="55" t="inlineStr">
        <is>
          <t>M11</t>
        </is>
      </c>
      <c r="M4" s="55" t="inlineStr">
        <is>
          <t>M12</t>
        </is>
      </c>
      <c r="N4" s="55" t="inlineStr">
        <is>
          <t>M13</t>
        </is>
      </c>
      <c r="O4" s="55" t="inlineStr">
        <is>
          <t>M14</t>
        </is>
      </c>
      <c r="P4" s="55" t="inlineStr">
        <is>
          <t>M15</t>
        </is>
      </c>
      <c r="Q4" s="55" t="inlineStr">
        <is>
          <t>M16</t>
        </is>
      </c>
      <c r="R4" s="55" t="inlineStr">
        <is>
          <t>M17</t>
        </is>
      </c>
      <c r="S4" s="55" t="inlineStr">
        <is>
          <t>M18</t>
        </is>
      </c>
    </row>
    <row r="5">
      <c r="A5" s="4" t="inlineStr">
        <is>
          <t>Платящие клиенты (накопленно)</t>
        </is>
      </c>
      <c r="B5" s="56" t="n">
        <v>0</v>
      </c>
      <c r="C5" s="56" t="n">
        <v>0</v>
      </c>
      <c r="D5" s="56" t="n">
        <v>0</v>
      </c>
      <c r="E5" s="56" t="n">
        <v>5</v>
      </c>
      <c r="F5" s="56" t="n">
        <v>15</v>
      </c>
      <c r="G5" s="56" t="n">
        <v>35</v>
      </c>
      <c r="H5" s="56" t="n">
        <v>60</v>
      </c>
      <c r="I5" s="56" t="n">
        <v>120</v>
      </c>
      <c r="J5" s="56" t="n">
        <v>200</v>
      </c>
      <c r="K5" s="56" t="n">
        <v>320</v>
      </c>
      <c r="L5" s="56" t="n">
        <v>480</v>
      </c>
      <c r="M5" s="56" t="n">
        <v>680</v>
      </c>
      <c r="N5" s="56" t="n">
        <v>920</v>
      </c>
      <c r="O5" s="56" t="n">
        <v>1180</v>
      </c>
      <c r="P5" s="56" t="n">
        <v>1450</v>
      </c>
      <c r="Q5" s="56" t="n">
        <v>1750</v>
      </c>
      <c r="R5" s="56" t="n">
        <v>2050</v>
      </c>
      <c r="S5" s="56" t="n">
        <v>2350</v>
      </c>
    </row>
    <row r="6">
      <c r="A6" s="4" t="inlineStr">
        <is>
          <t>ARPU средневзв., ₽/мес</t>
        </is>
      </c>
      <c r="B6" s="57" t="n">
        <v>990</v>
      </c>
      <c r="C6" s="57" t="n">
        <v>990</v>
      </c>
      <c r="D6" s="57" t="n">
        <v>990</v>
      </c>
      <c r="E6" s="57" t="n">
        <v>990</v>
      </c>
      <c r="F6" s="57" t="n">
        <v>1100</v>
      </c>
      <c r="G6" s="57" t="n">
        <v>1200</v>
      </c>
      <c r="H6" s="57" t="n">
        <v>1400</v>
      </c>
      <c r="I6" s="57" t="n">
        <v>1700</v>
      </c>
      <c r="J6" s="57" t="n">
        <v>2000</v>
      </c>
      <c r="K6" s="57" t="n">
        <v>2300</v>
      </c>
      <c r="L6" s="57" t="n">
        <v>2600</v>
      </c>
      <c r="M6" s="57" t="n">
        <v>2900</v>
      </c>
      <c r="N6" s="57" t="n">
        <v>3150</v>
      </c>
      <c r="O6" s="57" t="n">
        <v>3400</v>
      </c>
      <c r="P6" s="57" t="n">
        <v>3650</v>
      </c>
      <c r="Q6" s="57" t="n">
        <v>3850</v>
      </c>
      <c r="R6" s="57" t="n">
        <v>3950</v>
      </c>
      <c r="S6" s="57" t="n">
        <v>4080</v>
      </c>
    </row>
    <row r="7">
      <c r="A7" s="33" t="inlineStr">
        <is>
          <t>MRR, ₽/мес</t>
        </is>
      </c>
      <c r="B7" s="49">
        <f>B5*B6</f>
        <v/>
      </c>
      <c r="C7" s="49">
        <f>C5*C6</f>
        <v/>
      </c>
      <c r="D7" s="49">
        <f>D5*D6</f>
        <v/>
      </c>
      <c r="E7" s="49">
        <f>E5*E6</f>
        <v/>
      </c>
      <c r="F7" s="49">
        <f>F5*F6</f>
        <v/>
      </c>
      <c r="G7" s="49">
        <f>G5*G6</f>
        <v/>
      </c>
      <c r="H7" s="49">
        <f>H5*H6</f>
        <v/>
      </c>
      <c r="I7" s="49">
        <f>I5*I6</f>
        <v/>
      </c>
      <c r="J7" s="49">
        <f>J5*J6</f>
        <v/>
      </c>
      <c r="K7" s="49">
        <f>K5*K6</f>
        <v/>
      </c>
      <c r="L7" s="49">
        <f>L5*L6</f>
        <v/>
      </c>
      <c r="M7" s="49">
        <f>M5*M6</f>
        <v/>
      </c>
      <c r="N7" s="49">
        <f>N5*N6</f>
        <v/>
      </c>
      <c r="O7" s="49">
        <f>O5*O6</f>
        <v/>
      </c>
      <c r="P7" s="49">
        <f>P5*P6</f>
        <v/>
      </c>
      <c r="Q7" s="49">
        <f>Q5*Q6</f>
        <v/>
      </c>
      <c r="R7" s="49">
        <f>R5*R6</f>
        <v/>
      </c>
      <c r="S7" s="49">
        <f>S5*S6</f>
        <v/>
      </c>
    </row>
    <row r="8">
      <c r="A8" s="4" t="inlineStr">
        <is>
          <t>GM ratio</t>
        </is>
      </c>
      <c r="B8" s="58" t="n">
        <v>0.53</v>
      </c>
      <c r="C8" s="58" t="n">
        <v>0.53</v>
      </c>
      <c r="D8" s="58" t="n">
        <v>0.53</v>
      </c>
      <c r="E8" s="58" t="n">
        <v>0.53</v>
      </c>
      <c r="F8" s="58" t="n">
        <v>0.52</v>
      </c>
      <c r="G8" s="58" t="n">
        <v>0.5</v>
      </c>
      <c r="H8" s="58" t="n">
        <v>0.48</v>
      </c>
      <c r="I8" s="58" t="n">
        <v>0.46</v>
      </c>
      <c r="J8" s="58" t="n">
        <v>0.44</v>
      </c>
      <c r="K8" s="58" t="n">
        <v>0.42</v>
      </c>
      <c r="L8" s="58" t="n">
        <v>0.4</v>
      </c>
      <c r="M8" s="58" t="n">
        <v>0.38</v>
      </c>
      <c r="N8" s="58" t="n">
        <v>0.37</v>
      </c>
      <c r="O8" s="58" t="n">
        <v>0.36</v>
      </c>
      <c r="P8" s="58" t="n">
        <v>0.35</v>
      </c>
      <c r="Q8" s="58" t="n">
        <v>0.34</v>
      </c>
      <c r="R8" s="58" t="n">
        <v>0.34</v>
      </c>
      <c r="S8" s="58" t="n">
        <v>0.34</v>
      </c>
    </row>
    <row r="9">
      <c r="A9" s="33" t="inlineStr">
        <is>
          <t>ГРОСС-ПРИБЫЛЬ, ₽</t>
        </is>
      </c>
      <c r="B9" s="53">
        <f>B7*B8</f>
        <v/>
      </c>
      <c r="C9" s="53">
        <f>C7*C8</f>
        <v/>
      </c>
      <c r="D9" s="53">
        <f>D7*D8</f>
        <v/>
      </c>
      <c r="E9" s="53">
        <f>E7*E8</f>
        <v/>
      </c>
      <c r="F9" s="53">
        <f>F7*F8</f>
        <v/>
      </c>
      <c r="G9" s="53">
        <f>G7*G8</f>
        <v/>
      </c>
      <c r="H9" s="53">
        <f>H7*H8</f>
        <v/>
      </c>
      <c r="I9" s="53">
        <f>I7*I8</f>
        <v/>
      </c>
      <c r="J9" s="53">
        <f>J7*J8</f>
        <v/>
      </c>
      <c r="K9" s="53">
        <f>K7*K8</f>
        <v/>
      </c>
      <c r="L9" s="53">
        <f>L7*L8</f>
        <v/>
      </c>
      <c r="M9" s="53">
        <f>M7*M8</f>
        <v/>
      </c>
      <c r="N9" s="53">
        <f>N7*N8</f>
        <v/>
      </c>
      <c r="O9" s="53">
        <f>O7*O8</f>
        <v/>
      </c>
      <c r="P9" s="53">
        <f>P7*P8</f>
        <v/>
      </c>
      <c r="Q9" s="53">
        <f>Q7*Q8</f>
        <v/>
      </c>
      <c r="R9" s="53">
        <f>R7*R8</f>
        <v/>
      </c>
      <c r="S9" s="53">
        <f>S7*S8</f>
        <v/>
      </c>
    </row>
    <row r="11">
      <c r="A11" s="4" t="inlineStr">
        <is>
          <t>OPEX: Юрист, ₽</t>
        </is>
      </c>
      <c r="B11" s="43" t="n">
        <v>30000</v>
      </c>
      <c r="C11" s="43" t="n">
        <v>30000</v>
      </c>
      <c r="D11" s="43" t="n">
        <v>30000</v>
      </c>
      <c r="E11" s="43" t="n">
        <v>30000</v>
      </c>
      <c r="F11" s="43" t="n">
        <v>30000</v>
      </c>
      <c r="G11" s="43" t="n">
        <v>30000</v>
      </c>
      <c r="H11" s="43" t="n">
        <v>30000</v>
      </c>
      <c r="I11" s="43" t="n">
        <v>30000</v>
      </c>
      <c r="J11" s="43" t="n">
        <v>30000</v>
      </c>
      <c r="K11" s="43" t="n">
        <v>30000</v>
      </c>
      <c r="L11" s="43" t="n">
        <v>30000</v>
      </c>
      <c r="M11" s="43" t="n">
        <v>30000</v>
      </c>
      <c r="N11" s="43" t="n">
        <v>30000</v>
      </c>
      <c r="O11" s="43" t="n">
        <v>30000</v>
      </c>
      <c r="P11" s="43" t="n">
        <v>30000</v>
      </c>
      <c r="Q11" s="43" t="n">
        <v>30000</v>
      </c>
      <c r="R11" s="43" t="n">
        <v>30000</v>
      </c>
      <c r="S11" s="43" t="n">
        <v>30000</v>
      </c>
    </row>
    <row r="12">
      <c r="A12" s="4" t="inlineStr">
        <is>
          <t>OPEX: Разработка, ₽</t>
        </is>
      </c>
      <c r="B12" s="43" t="n">
        <v>300000</v>
      </c>
      <c r="C12" s="43" t="n">
        <v>300000</v>
      </c>
      <c r="D12" s="43" t="n">
        <v>300000</v>
      </c>
      <c r="E12" s="43" t="n">
        <v>300000</v>
      </c>
      <c r="F12" s="43" t="n">
        <v>300000</v>
      </c>
      <c r="G12" s="43" t="n">
        <v>300000</v>
      </c>
      <c r="H12" s="43" t="n">
        <v>300000</v>
      </c>
      <c r="I12" s="43" t="n">
        <v>300000</v>
      </c>
      <c r="J12" s="43" t="n">
        <v>300000</v>
      </c>
      <c r="K12" s="43" t="n">
        <v>300000</v>
      </c>
      <c r="L12" s="43" t="n">
        <v>300000</v>
      </c>
      <c r="M12" s="43" t="n">
        <v>300000</v>
      </c>
      <c r="N12" s="43" t="n">
        <v>300000</v>
      </c>
      <c r="O12" s="43" t="n">
        <v>300000</v>
      </c>
      <c r="P12" s="43" t="n">
        <v>300000</v>
      </c>
      <c r="Q12" s="43" t="n">
        <v>300000</v>
      </c>
      <c r="R12" s="43" t="n">
        <v>300000</v>
      </c>
      <c r="S12" s="43" t="n">
        <v>300000</v>
      </c>
    </row>
    <row r="13">
      <c r="A13" s="4" t="inlineStr">
        <is>
          <t>OPEX: Серверум (control plane), ₽</t>
        </is>
      </c>
      <c r="B13" s="43" t="n">
        <v>50000</v>
      </c>
      <c r="C13" s="43" t="n">
        <v>50000</v>
      </c>
      <c r="D13" s="43" t="n">
        <v>50000</v>
      </c>
      <c r="E13" s="43" t="n">
        <v>50000</v>
      </c>
      <c r="F13" s="43" t="n">
        <v>50000</v>
      </c>
      <c r="G13" s="43" t="n">
        <v>50000</v>
      </c>
      <c r="H13" s="43" t="n">
        <v>50000</v>
      </c>
      <c r="I13" s="43" t="n">
        <v>50000</v>
      </c>
      <c r="J13" s="43" t="n">
        <v>50000</v>
      </c>
      <c r="K13" s="43" t="n">
        <v>50000</v>
      </c>
      <c r="L13" s="43" t="n">
        <v>50000</v>
      </c>
      <c r="M13" s="43" t="n">
        <v>50000</v>
      </c>
      <c r="N13" s="43" t="n">
        <v>50000</v>
      </c>
      <c r="O13" s="43" t="n">
        <v>50000</v>
      </c>
      <c r="P13" s="43" t="n">
        <v>50000</v>
      </c>
      <c r="Q13" s="43" t="n">
        <v>50000</v>
      </c>
      <c r="R13" s="43" t="n">
        <v>50000</v>
      </c>
      <c r="S13" s="43" t="n">
        <v>50000</v>
      </c>
    </row>
    <row r="14">
      <c r="A14" s="4" t="inlineStr">
        <is>
          <t>OPEX: Домены/SSL/инфра, ₽</t>
        </is>
      </c>
      <c r="B14" s="43" t="n">
        <v>5000</v>
      </c>
      <c r="C14" s="43" t="n">
        <v>5000</v>
      </c>
      <c r="D14" s="43" t="n">
        <v>5000</v>
      </c>
      <c r="E14" s="43" t="n">
        <v>5000</v>
      </c>
      <c r="F14" s="43" t="n">
        <v>5000</v>
      </c>
      <c r="G14" s="43" t="n">
        <v>5000</v>
      </c>
      <c r="H14" s="43" t="n">
        <v>5000</v>
      </c>
      <c r="I14" s="43" t="n">
        <v>5000</v>
      </c>
      <c r="J14" s="43" t="n">
        <v>5000</v>
      </c>
      <c r="K14" s="43" t="n">
        <v>5000</v>
      </c>
      <c r="L14" s="43" t="n">
        <v>5000</v>
      </c>
      <c r="M14" s="43" t="n">
        <v>5000</v>
      </c>
      <c r="N14" s="43" t="n">
        <v>5000</v>
      </c>
      <c r="O14" s="43" t="n">
        <v>5000</v>
      </c>
      <c r="P14" s="43" t="n">
        <v>5000</v>
      </c>
      <c r="Q14" s="43" t="n">
        <v>5000</v>
      </c>
      <c r="R14" s="43" t="n">
        <v>5000</v>
      </c>
      <c r="S14" s="43" t="n">
        <v>5000</v>
      </c>
    </row>
    <row r="15">
      <c r="A15" s="33" t="inlineStr">
        <is>
          <t>ИТОГО OPEX, ₽</t>
        </is>
      </c>
      <c r="B15" s="59">
        <f>SUM(B11:B14)</f>
        <v/>
      </c>
      <c r="C15" s="59">
        <f>SUM(C11:C14)</f>
        <v/>
      </c>
      <c r="D15" s="59">
        <f>SUM(D11:D14)</f>
        <v/>
      </c>
      <c r="E15" s="59">
        <f>SUM(E11:E14)</f>
        <v/>
      </c>
      <c r="F15" s="59">
        <f>SUM(F11:F14)</f>
        <v/>
      </c>
      <c r="G15" s="59">
        <f>SUM(G11:G14)</f>
        <v/>
      </c>
      <c r="H15" s="59">
        <f>SUM(H11:H14)</f>
        <v/>
      </c>
      <c r="I15" s="59">
        <f>SUM(I11:I14)</f>
        <v/>
      </c>
      <c r="J15" s="59">
        <f>SUM(J11:J14)</f>
        <v/>
      </c>
      <c r="K15" s="59">
        <f>SUM(K11:K14)</f>
        <v/>
      </c>
      <c r="L15" s="59">
        <f>SUM(L11:L14)</f>
        <v/>
      </c>
      <c r="M15" s="59">
        <f>SUM(M11:M14)</f>
        <v/>
      </c>
      <c r="N15" s="59">
        <f>SUM(N11:N14)</f>
        <v/>
      </c>
      <c r="O15" s="59">
        <f>SUM(O11:O14)</f>
        <v/>
      </c>
      <c r="P15" s="59">
        <f>SUM(P11:P14)</f>
        <v/>
      </c>
      <c r="Q15" s="59">
        <f>SUM(Q11:Q14)</f>
        <v/>
      </c>
      <c r="R15" s="59">
        <f>SUM(R11:R14)</f>
        <v/>
      </c>
      <c r="S15" s="59">
        <f>SUM(S11:S14)</f>
        <v/>
      </c>
    </row>
    <row r="17">
      <c r="A17" s="33" t="inlineStr">
        <is>
          <t>EBITDA, ₽</t>
        </is>
      </c>
      <c r="B17" s="60">
        <f>B9-B15</f>
        <v/>
      </c>
      <c r="C17" s="60">
        <f>C9-C15</f>
        <v/>
      </c>
      <c r="D17" s="60">
        <f>D9-D15</f>
        <v/>
      </c>
      <c r="E17" s="60">
        <f>E9-E15</f>
        <v/>
      </c>
      <c r="F17" s="60">
        <f>F9-F15</f>
        <v/>
      </c>
      <c r="G17" s="60">
        <f>G9-G15</f>
        <v/>
      </c>
      <c r="H17" s="60">
        <f>H9-H15</f>
        <v/>
      </c>
      <c r="I17" s="60">
        <f>I9-I15</f>
        <v/>
      </c>
      <c r="J17" s="60">
        <f>J9-J15</f>
        <v/>
      </c>
      <c r="K17" s="60">
        <f>K9-K15</f>
        <v/>
      </c>
      <c r="L17" s="60">
        <f>L9-L15</f>
        <v/>
      </c>
      <c r="M17" s="60">
        <f>M9-M15</f>
        <v/>
      </c>
      <c r="N17" s="60">
        <f>N9-N15</f>
        <v/>
      </c>
      <c r="O17" s="60">
        <f>O9-O15</f>
        <v/>
      </c>
      <c r="P17" s="60">
        <f>P9-P15</f>
        <v/>
      </c>
      <c r="Q17" s="60">
        <f>Q9-Q15</f>
        <v/>
      </c>
      <c r="R17" s="60">
        <f>R9-R15</f>
        <v/>
      </c>
      <c r="S17" s="60">
        <f>S9-S15</f>
        <v/>
      </c>
    </row>
    <row r="18">
      <c r="A18" s="33" t="inlineStr">
        <is>
          <t>Накопленный кэш (старт 30к ₽), ₽</t>
        </is>
      </c>
      <c r="B18" s="60">
        <f>30000+B17</f>
        <v/>
      </c>
      <c r="C18" s="49">
        <f>B18+C17</f>
        <v/>
      </c>
      <c r="D18" s="49">
        <f>C18+D17</f>
        <v/>
      </c>
      <c r="E18" s="49">
        <f>D18+E17</f>
        <v/>
      </c>
      <c r="F18" s="49">
        <f>E18+F17</f>
        <v/>
      </c>
      <c r="G18" s="49">
        <f>F18+G17</f>
        <v/>
      </c>
      <c r="H18" s="49">
        <f>G18+H17</f>
        <v/>
      </c>
      <c r="I18" s="49">
        <f>H18+I17</f>
        <v/>
      </c>
      <c r="J18" s="49">
        <f>I18+J17</f>
        <v/>
      </c>
      <c r="K18" s="49">
        <f>J18+K17</f>
        <v/>
      </c>
      <c r="L18" s="49">
        <f>K18+L17</f>
        <v/>
      </c>
      <c r="M18" s="49">
        <f>L18+M17</f>
        <v/>
      </c>
      <c r="N18" s="49">
        <f>M18+N17</f>
        <v/>
      </c>
      <c r="O18" s="49">
        <f>N18+O17</f>
        <v/>
      </c>
      <c r="P18" s="49">
        <f>O18+P17</f>
        <v/>
      </c>
      <c r="Q18" s="49">
        <f>P18+Q17</f>
        <v/>
      </c>
      <c r="R18" s="49">
        <f>Q18+R17</f>
        <v/>
      </c>
      <c r="S18" s="49">
        <f>R18+S17</f>
        <v/>
      </c>
    </row>
    <row r="21">
      <c r="A21" s="3" t="inlineStr">
        <is>
          <t>SUMMARY</t>
        </is>
      </c>
    </row>
    <row r="22">
      <c r="A22" s="4" t="inlineStr">
        <is>
          <t>MRR на M18, ₽</t>
        </is>
      </c>
      <c r="B22" s="53">
        <f>S7</f>
        <v/>
      </c>
    </row>
    <row r="23">
      <c r="A23" s="4" t="inlineStr">
        <is>
          <t>ARR на M18, ₽</t>
        </is>
      </c>
      <c r="B23" s="53">
        <f>S7*12</f>
        <v/>
      </c>
    </row>
    <row r="24">
      <c r="A24" s="4" t="inlineStr">
        <is>
          <t>Накопленный кэш на M18, ₽</t>
        </is>
      </c>
      <c r="B24" s="53">
        <f>S18</f>
        <v/>
      </c>
    </row>
    <row r="25">
      <c r="A25" s="4" t="inlineStr">
        <is>
          <t>Min cash (наибольший провал), ₽</t>
        </is>
      </c>
      <c r="B25" s="59">
        <f>MIN(B18:S18)</f>
        <v/>
      </c>
    </row>
    <row r="26">
      <c r="A26" s="4" t="inlineStr">
        <is>
          <t>Месяц первого положительного EBITDA</t>
        </is>
      </c>
      <c r="B26" s="2" t="inlineStr">
        <is>
          <t>M11–M12 (по плану)</t>
        </is>
      </c>
    </row>
    <row r="27">
      <c r="A27" s="4" t="inlineStr">
        <is>
          <t>Месяц recoup (накопленный кэш &gt; 0)</t>
        </is>
      </c>
      <c r="B27" s="2" t="inlineStr">
        <is>
          <t>M16 (по плану)</t>
        </is>
      </c>
    </row>
    <row r="29">
      <c r="A29" s="3" t="inlineStr">
        <is>
          <t>vs v2 plan (с маркет. + FOT 3.5М/мес):</t>
        </is>
      </c>
    </row>
    <row r="31">
      <c r="A31" s="4" t="inlineStr">
        <is>
          <t>Постоянный OPEX/мес</t>
        </is>
      </c>
      <c r="B31" s="61" t="inlineStr">
        <is>
          <t>385 000 ₽</t>
        </is>
      </c>
      <c r="C31" s="62" t="inlineStr">
        <is>
          <t>3 500 000 ₽</t>
        </is>
      </c>
      <c r="D31" s="4" t="inlineStr">
        <is>
          <t>−89%</t>
        </is>
      </c>
    </row>
    <row r="32">
      <c r="A32" s="4" t="inlineStr">
        <is>
          <t>Break-even клиентов</t>
        </is>
      </c>
      <c r="B32" s="61" t="inlineStr">
        <is>
          <t>~280</t>
        </is>
      </c>
      <c r="C32" s="62" t="inlineStr">
        <is>
          <t>~860</t>
        </is>
      </c>
      <c r="D32" s="4" t="inlineStr">
        <is>
          <t>−67%</t>
        </is>
      </c>
    </row>
    <row r="33">
      <c r="A33" s="4" t="inlineStr">
        <is>
          <t>Min cash (худший провал)</t>
        </is>
      </c>
      <c r="B33" s="61" t="inlineStr">
        <is>
          <t>~3.2 М ₽</t>
        </is>
      </c>
      <c r="C33" s="62" t="inlineStr">
        <is>
          <t>~28 М ₽</t>
        </is>
      </c>
      <c r="D33" s="4" t="inlineStr">
        <is>
          <t>−89%</t>
        </is>
      </c>
    </row>
    <row r="34">
      <c r="A34" s="4" t="inlineStr">
        <is>
          <t>Bootstrap-friendly</t>
        </is>
      </c>
      <c r="B34" s="61" t="inlineStr">
        <is>
          <t>Да (с буфером 4-5 М)</t>
        </is>
      </c>
      <c r="C34" s="62" t="inlineStr">
        <is>
          <t>Нужен ангел 10М+</t>
        </is>
      </c>
      <c r="D34" s="4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2026-05-05T17:45:11Z</dcterms:created>
  <dcterms:modified xsi:type="dcterms:W3CDTF">2026-05-05T17:45:11Z</dcterms:modified>
</cp:coreProperties>
</file>