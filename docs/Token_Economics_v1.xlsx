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точки безубыточности" sheetId="14" state="visible" r:id="rId14"/>
    <sheet name="15. Lean финмодель 18м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Себест ₽/1М = (цена input × 0.5 + цена output × 0.5) × курс ₽/$. Цена клиенту = себест × наценка 2.8.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Цена клиенту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 ₽/сообщ</t>
        </is>
      </c>
      <c r="C4" s="8" t="inlineStr">
        <is>
          <t>Цена клиенту ₽/сообщ</t>
        </is>
      </c>
      <c r="D4" s="8" t="inlineStr">
        <is>
          <t>Маржа ₽/сообщ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Цена что заплатит клиент · меняй размер сообщения в 1. 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 ₽/сообщ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Цена клиенту ₽/сообщ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себест/сообщ</t>
        </is>
      </c>
      <c r="C11" s="8" t="inlineStr">
        <is>
          <t>С кешем · себест/сообщ</t>
        </is>
      </c>
      <c r="D11" s="8" t="inlineStr">
        <is>
          <t>Экономия %</t>
        </is>
      </c>
      <c r="E11" s="8" t="inlineStr">
        <is>
          <t>Без · цена клиенту/сообщ</t>
        </is>
      </c>
      <c r="F11" s="8" t="inlineStr">
        <is>
          <t>С · цена клиенту/сообщ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Покупка железа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Текущие траты в месяц (электричество, охлаждение, износ за 5 лет)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Производительность 1 видеокарты, сообщ/час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Время работы, часов/мес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Сколько сообщ может обработать в 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Себест 1 сообщ на Qwen, ₽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точки безубыточности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точки безубыточности.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точки безубыточности — однозначно ставить.</t>
        </is>
      </c>
    </row>
    <row r="31" ht="22" customHeight="1">
      <c r="A31" s="6" t="inlineStr">
        <is>
          <t>• По плану на M15: ~1 000 платящих → точки безубыточности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точки безубыточности)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15" t="n"/>
      <c r="B8" s="15" t="n"/>
      <c r="C8" s="15" t="n"/>
    </row>
    <row r="9">
      <c r="A9" s="22" t="inlineStr">
        <is>
          <t>ИТОГО ПОСТОЯННЫХ</t>
        </is>
      </c>
      <c r="B9" s="45">
        <f>B7</f>
        <v/>
      </c>
      <c r="C9" s="15" t="n"/>
    </row>
    <row r="11">
      <c r="A11" s="3" t="inlineStr">
        <is>
          <t>ПОЧЕМУ ТАК МАЛО ПОСТОЯННЫХ?</t>
        </is>
      </c>
    </row>
    <row r="12" ht="22" customHeight="1">
      <c r="A12" s="6" t="inlineStr">
        <is>
          <t>• Разработку делают founders сами — без зарплат. AI-инструменты делают это реальным даже для одного человека.</t>
        </is>
      </c>
    </row>
    <row r="13" ht="22" customHeight="1">
      <c r="A13" s="6" t="inlineStr">
        <is>
          <t>• Серверум и домен клиента — в стоимости подписки (variable per customer), не наши fixed.</t>
        </is>
      </c>
    </row>
    <row r="14" ht="22" customHeight="1">
      <c r="A14" s="6" t="inlineStr">
        <is>
          <t>• Маркетинг с M2 (после запуска): 100 → 250 К/мес ramp. Если clipboard окупает себя — масштабируем.</t>
        </is>
      </c>
    </row>
    <row r="15" ht="22" customHeight="1">
      <c r="A15" s="6" t="inlineStr">
        <is>
          <t>• Юрист — единственная обязательная статья (договоры, оферта, документы по 152-ФЗ).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Средний доход с клиента,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Маржа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Маржа % от выручки</t>
        </is>
      </c>
      <c r="B17" s="50">
        <f>B16/B15</f>
        <v/>
      </c>
    </row>
    <row r="20">
      <c r="A20" s="3" t="inlineStr">
        <is>
          <t>ТОЧКА БЕЗУБЫТОЧНОСТИ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Выручка/мес для безубыточности,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Доход/клиент ₽</t>
        </is>
      </c>
      <c r="G29" s="8" t="inlineStr">
        <is>
          <t>Маржа/клиент ₽</t>
        </is>
      </c>
      <c r="H29" s="8" t="inlineStr">
        <is>
          <t>Клиентов до плюса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точки безубыточности ≈ 280 платящих. При премиум-tilt — всего ~145.</t>
        </is>
      </c>
    </row>
    <row r="38">
      <c r="A38" s="2" t="inlineStr">
        <is>
          <t>vs v2 business plan (с маркетингом и FOT 3.5М/мес): точки безубыточности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18 месяцев · M1 запуск → founders-only без зарплат разработчикам</t>
        </is>
      </c>
    </row>
    <row r="2" ht="32" customHeight="1">
      <c r="A2" s="2" t="inlineStr">
        <is>
          <t>Разрабатывают founders сами (AI-инструменты делают это реальным). Постоянка = только юрист 30к. С M2 — маркетинг 100→250к.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30</v>
      </c>
      <c r="D5" s="56" t="n">
        <v>80</v>
      </c>
      <c r="E5" s="56" t="n">
        <v>150</v>
      </c>
      <c r="F5" s="56" t="n">
        <v>250</v>
      </c>
      <c r="G5" s="56" t="n">
        <v>380</v>
      </c>
      <c r="H5" s="56" t="n">
        <v>540</v>
      </c>
      <c r="I5" s="56" t="n">
        <v>720</v>
      </c>
      <c r="J5" s="56" t="n">
        <v>920</v>
      </c>
      <c r="K5" s="56" t="n">
        <v>1140</v>
      </c>
      <c r="L5" s="56" t="n">
        <v>1390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</row>
    <row r="6">
      <c r="A6" s="4" t="inlineStr">
        <is>
          <t>Средний доход с клиента,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</row>
    <row r="7">
      <c r="A7" s="33" t="inlineStr">
        <is>
          <t>Выручка,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</row>
    <row r="8">
      <c r="A8" s="4" t="inlineStr">
        <is>
          <t>Маржа %</t>
        </is>
      </c>
      <c r="B8" s="58" t="n">
        <v>0</v>
      </c>
      <c r="C8" s="58" t="n">
        <v>0.53</v>
      </c>
      <c r="D8" s="58" t="n">
        <v>0.53</v>
      </c>
      <c r="E8" s="58" t="n">
        <v>0.52</v>
      </c>
      <c r="F8" s="58" t="n">
        <v>0.5</v>
      </c>
      <c r="G8" s="58" t="n">
        <v>0.48</v>
      </c>
      <c r="H8" s="58" t="n">
        <v>0.46</v>
      </c>
      <c r="I8" s="58" t="n">
        <v>0.44</v>
      </c>
      <c r="J8" s="58" t="n">
        <v>0.42</v>
      </c>
      <c r="K8" s="58" t="n">
        <v>0.4</v>
      </c>
      <c r="L8" s="58" t="n">
        <v>0.38</v>
      </c>
      <c r="M8" s="58" t="n">
        <v>0.37</v>
      </c>
      <c r="N8" s="58" t="n">
        <v>0.36</v>
      </c>
      <c r="O8" s="58" t="n">
        <v>0.35</v>
      </c>
      <c r="P8" s="58" t="n">
        <v>0.34</v>
      </c>
      <c r="Q8" s="58" t="n">
        <v>0.34</v>
      </c>
      <c r="R8" s="58" t="n">
        <v>0.34</v>
      </c>
      <c r="S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</row>
    <row r="12">
      <c r="A12" s="4" t="inlineStr">
        <is>
          <t>OPEX: Маркетинг и реклама, ₽</t>
        </is>
      </c>
      <c r="B12" s="43" t="n">
        <v>0</v>
      </c>
      <c r="C12" s="59" t="n">
        <v>100000</v>
      </c>
      <c r="D12" s="59" t="n">
        <v>100000</v>
      </c>
      <c r="E12" s="59" t="n">
        <v>100000</v>
      </c>
      <c r="F12" s="59" t="n">
        <v>100000</v>
      </c>
      <c r="G12" s="59" t="n">
        <v>150000</v>
      </c>
      <c r="H12" s="59" t="n">
        <v>150000</v>
      </c>
      <c r="I12" s="59" t="n">
        <v>150000</v>
      </c>
      <c r="J12" s="59" t="n">
        <v>150000</v>
      </c>
      <c r="K12" s="59" t="n">
        <v>200000</v>
      </c>
      <c r="L12" s="59" t="n">
        <v>200000</v>
      </c>
      <c r="M12" s="59" t="n">
        <v>200000</v>
      </c>
      <c r="N12" s="59" t="n">
        <v>200000</v>
      </c>
      <c r="O12" s="59" t="n">
        <v>200000</v>
      </c>
      <c r="P12" s="59" t="n">
        <v>250000</v>
      </c>
      <c r="Q12" s="59" t="n">
        <v>250000</v>
      </c>
      <c r="R12" s="59" t="n">
        <v>250000</v>
      </c>
      <c r="S12" s="59" t="n">
        <v>250000</v>
      </c>
    </row>
    <row r="13">
      <c r="A13" s="33" t="inlineStr">
        <is>
          <t>ИТОГО OPEX, ₽</t>
        </is>
      </c>
      <c r="B13" s="60">
        <f>SUM(B11:B12)</f>
        <v/>
      </c>
      <c r="C13" s="60">
        <f>SUM(C11:C12)</f>
        <v/>
      </c>
      <c r="D13" s="60">
        <f>SUM(D11:D12)</f>
        <v/>
      </c>
      <c r="E13" s="60">
        <f>SUM(E11:E12)</f>
        <v/>
      </c>
      <c r="F13" s="60">
        <f>SUM(F11:F12)</f>
        <v/>
      </c>
      <c r="G13" s="60">
        <f>SUM(G11:G12)</f>
        <v/>
      </c>
      <c r="H13" s="60">
        <f>SUM(H11:H12)</f>
        <v/>
      </c>
      <c r="I13" s="60">
        <f>SUM(I11:I12)</f>
        <v/>
      </c>
      <c r="J13" s="60">
        <f>SUM(J11:J12)</f>
        <v/>
      </c>
      <c r="K13" s="60">
        <f>SUM(K11:K12)</f>
        <v/>
      </c>
      <c r="L13" s="60">
        <f>SUM(L11:L12)</f>
        <v/>
      </c>
      <c r="M13" s="60">
        <f>SUM(M11:M12)</f>
        <v/>
      </c>
      <c r="N13" s="60">
        <f>SUM(N11:N12)</f>
        <v/>
      </c>
      <c r="O13" s="60">
        <f>SUM(O11:O12)</f>
        <v/>
      </c>
      <c r="P13" s="60">
        <f>SUM(P11:P12)</f>
        <v/>
      </c>
      <c r="Q13" s="60">
        <f>SUM(Q11:Q12)</f>
        <v/>
      </c>
      <c r="R13" s="60">
        <f>SUM(R11:R12)</f>
        <v/>
      </c>
      <c r="S13" s="60">
        <f>SUM(S11:S12)</f>
        <v/>
      </c>
    </row>
    <row r="15">
      <c r="A15" s="33" t="inlineStr">
        <is>
          <t>Прибыль/убыток, ₽</t>
        </is>
      </c>
      <c r="B15" s="61">
        <f>B9-B13</f>
        <v/>
      </c>
      <c r="C15" s="61">
        <f>C9-C13</f>
        <v/>
      </c>
      <c r="D15" s="61">
        <f>D9-D13</f>
        <v/>
      </c>
      <c r="E15" s="61">
        <f>E9-E13</f>
        <v/>
      </c>
      <c r="F15" s="61">
        <f>F9-F13</f>
        <v/>
      </c>
      <c r="G15" s="61">
        <f>G9-G13</f>
        <v/>
      </c>
      <c r="H15" s="61">
        <f>H9-H13</f>
        <v/>
      </c>
      <c r="I15" s="61">
        <f>I9-I13</f>
        <v/>
      </c>
      <c r="J15" s="61">
        <f>J9-J13</f>
        <v/>
      </c>
      <c r="K15" s="61">
        <f>K9-K13</f>
        <v/>
      </c>
      <c r="L15" s="61">
        <f>L9-L13</f>
        <v/>
      </c>
      <c r="M15" s="61">
        <f>M9-M13</f>
        <v/>
      </c>
      <c r="N15" s="61">
        <f>N9-N13</f>
        <v/>
      </c>
      <c r="O15" s="61">
        <f>O9-O13</f>
        <v/>
      </c>
      <c r="P15" s="61">
        <f>P9-P13</f>
        <v/>
      </c>
      <c r="Q15" s="61">
        <f>Q9-Q13</f>
        <v/>
      </c>
      <c r="R15" s="61">
        <f>R9-R13</f>
        <v/>
      </c>
      <c r="S15" s="61">
        <f>S9-S13</f>
        <v/>
      </c>
    </row>
    <row r="16">
      <c r="A16" s="33" t="inlineStr">
        <is>
          <t>Накопленный кэш (старт 30к ₽), ₽</t>
        </is>
      </c>
      <c r="B16" s="61">
        <f>30000+B15</f>
        <v/>
      </c>
      <c r="C16" s="49">
        <f>B16+C15</f>
        <v/>
      </c>
      <c r="D16" s="49">
        <f>C16+D15</f>
        <v/>
      </c>
      <c r="E16" s="49">
        <f>D16+E15</f>
        <v/>
      </c>
      <c r="F16" s="49">
        <f>E16+F15</f>
        <v/>
      </c>
      <c r="G16" s="49">
        <f>F16+G15</f>
        <v/>
      </c>
      <c r="H16" s="49">
        <f>G16+H15</f>
        <v/>
      </c>
      <c r="I16" s="49">
        <f>H16+I15</f>
        <v/>
      </c>
      <c r="J16" s="49">
        <f>I16+J15</f>
        <v/>
      </c>
      <c r="K16" s="49">
        <f>J16+K15</f>
        <v/>
      </c>
      <c r="L16" s="49">
        <f>K16+L15</f>
        <v/>
      </c>
      <c r="M16" s="49">
        <f>L16+M15</f>
        <v/>
      </c>
      <c r="N16" s="49">
        <f>M16+N15</f>
        <v/>
      </c>
      <c r="O16" s="49">
        <f>N16+O15</f>
        <v/>
      </c>
      <c r="P16" s="49">
        <f>O16+P15</f>
        <v/>
      </c>
      <c r="Q16" s="49">
        <f>P16+Q15</f>
        <v/>
      </c>
      <c r="R16" s="49">
        <f>Q16+R15</f>
        <v/>
      </c>
      <c r="S16" s="49">
        <f>R16+S15</f>
        <v/>
      </c>
    </row>
    <row r="20">
      <c r="A20" s="3" t="inlineStr">
        <is>
          <t>SUMMARY</t>
        </is>
      </c>
    </row>
    <row r="21">
      <c r="A21" s="4" t="inlineStr">
        <is>
          <t>Выручка/мес на M18, ₽</t>
        </is>
      </c>
      <c r="B21" s="53">
        <f>S7</f>
        <v/>
      </c>
    </row>
    <row r="22">
      <c r="A22" s="4" t="inlineStr">
        <is>
          <t>Выручка/год на M18, ₽</t>
        </is>
      </c>
      <c r="B22" s="53">
        <f>S7*12</f>
        <v/>
      </c>
    </row>
    <row r="23">
      <c r="A23" s="4" t="inlineStr">
        <is>
          <t>Накопленный кэш на M18, ₽</t>
        </is>
      </c>
      <c r="B23" s="53">
        <f>S16</f>
        <v/>
      </c>
    </row>
    <row r="24">
      <c r="A24" s="4" t="inlineStr">
        <is>
          <t>Самый большой минус по деньгам, ₽</t>
        </is>
      </c>
      <c r="B24" s="60">
        <f>MIN(B16:S16)</f>
        <v/>
      </c>
    </row>
    <row r="25">
      <c r="A25" s="4" t="inlineStr">
        <is>
          <t>Месяц первой прибыли (положительная)</t>
        </is>
      </c>
      <c r="B25" s="2" t="inlineStr">
        <is>
          <t>M5 (по плану)</t>
        </is>
      </c>
    </row>
    <row r="26">
      <c r="A26" s="4" t="inlineStr">
        <is>
          <t>Месяц возврата вложений (кэш &gt; 0)</t>
        </is>
      </c>
      <c r="B26" s="2" t="inlineStr">
        <is>
          <t>M7 (по плану)</t>
        </is>
      </c>
    </row>
    <row r="27">
      <c r="A27" s="4" t="inlineStr">
        <is>
          <t>Маркетинг суммарно за 18 мес</t>
        </is>
      </c>
      <c r="B27" s="62">
        <f>SUM(B12:S12)</f>
        <v/>
      </c>
    </row>
    <row r="29">
      <c r="A29" s="3" t="inlineStr">
        <is>
          <t>vs модель с зарплатой разработчикам 300к/мес:</t>
        </is>
      </c>
    </row>
    <row r="31">
      <c r="A31" s="4" t="inlineStr">
        <is>
          <t>Месяц первой прибыли</t>
        </is>
      </c>
      <c r="B31" s="63" t="inlineStr">
        <is>
          <t>M5</t>
        </is>
      </c>
      <c r="C31" s="64" t="inlineStr">
        <is>
          <t>M8</t>
        </is>
      </c>
      <c r="D31" s="4" t="inlineStr">
        <is>
          <t>+3 мес раньше</t>
        </is>
      </c>
    </row>
    <row r="32">
      <c r="A32" s="4" t="inlineStr">
        <is>
          <t>Месяц возврата вложений</t>
        </is>
      </c>
      <c r="B32" s="63" t="inlineStr">
        <is>
          <t>M7</t>
        </is>
      </c>
      <c r="C32" s="64" t="inlineStr">
        <is>
          <t>M11</t>
        </is>
      </c>
      <c r="D32" s="4" t="inlineStr">
        <is>
          <t>+4 мес раньше</t>
        </is>
      </c>
    </row>
    <row r="33">
      <c r="A33" s="4" t="inlineStr">
        <is>
          <t>Самый большой минус</t>
        </is>
      </c>
      <c r="B33" s="63" t="inlineStr">
        <is>
          <t>~−250 К ₽</t>
        </is>
      </c>
      <c r="C33" s="64" t="inlineStr">
        <is>
          <t>~−2 М ₽</t>
        </is>
      </c>
      <c r="D33" s="4" t="inlineStr">
        <is>
          <t>−87%</t>
        </is>
      </c>
    </row>
    <row r="34">
      <c r="A34" s="4" t="inlineStr">
        <is>
          <t>Накопленный кэш на M18</t>
        </is>
      </c>
      <c r="B34" s="63" t="inlineStr">
        <is>
          <t>~+27 М ₽</t>
        </is>
      </c>
      <c r="C34" s="64" t="inlineStr">
        <is>
          <t>~+22 М ₽</t>
        </is>
      </c>
      <c r="D34" s="4" t="inlineStr">
        <is>
          <t>+5 М</t>
        </is>
      </c>
    </row>
    <row r="35">
      <c r="A35" s="4" t="inlineStr">
        <is>
          <t>Можно ли запуститься на 30к?</t>
        </is>
      </c>
      <c r="B35" s="63" t="inlineStr">
        <is>
          <t>ДА (хватит на M1)</t>
        </is>
      </c>
      <c r="C35" s="64" t="inlineStr">
        <is>
          <t>Нет</t>
        </is>
      </c>
      <c r="D35" s="4" t="inlineStr">
        <is>
          <t>—</t>
        </is>
      </c>
    </row>
    <row r="36">
      <c r="A36" s="4" t="inlineStr">
        <is>
          <t>Источник разработки</t>
        </is>
      </c>
      <c r="B36" s="63" t="inlineStr">
        <is>
          <t>founders + AI</t>
        </is>
      </c>
      <c r="C36" s="64" t="inlineStr">
        <is>
          <t>1 senior + 1 mid</t>
        </is>
      </c>
      <c r="D36" s="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2026-05-06T08:05:55Z</dcterms:created>
  <dcterms:modified xsi:type="dcterms:W3CDTF">2026-05-06T08:05:55Z</dcterms:modified>
</cp:coreProperties>
</file>