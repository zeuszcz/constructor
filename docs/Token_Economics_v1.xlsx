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Параметры" sheetId="1" state="visible" r:id="rId1"/>
    <sheet name="2. Модели LLM" sheetId="2" state="visible" r:id="rId2"/>
    <sheet name="3. Цена сообщения" sheetId="3" state="visible" r:id="rId3"/>
    <sheet name="4. Объёмы 50-200-1000" sheetId="4" state="visible" r:id="rId4"/>
    <sheet name="5. Кошелёк → сообщения" sheetId="5" state="visible" r:id="rId5"/>
    <sheet name="6. Mix-сценарии" sheetId="6" state="visible" r:id="rId6"/>
    <sheet name="7. Маржа по тарифам" sheetId="7" state="visible" r:id="rId7"/>
    <sheet name="8. Размер сообщения" sheetId="8" state="visible" r:id="rId8"/>
    <sheet name="9. Топ-up пакеты" sheetId="9" state="visible" r:id="rId9"/>
    <sheet name="10. Сообщения на проект" sheetId="10" state="visible" r:id="rId10"/>
    <sheet name="11. Кеширование промптов" sheetId="11" state="visible" r:id="rId11"/>
    <sheet name="12. Qwen self-hosted" sheetId="12" state="visible" r:id="rId12"/>
    <sheet name="13. Lean opex" sheetId="13" state="visible" r:id="rId13"/>
    <sheet name="14. Lean точки безубыточности" sheetId="14" state="visible" r:id="rId14"/>
    <sheet name="15. Финмодель 24 мес" sheetId="15" state="visible" r:id="rId15"/>
    <sheet name="16. Маркетинг 2026 (clean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,##0 ₽"/>
    <numFmt numFmtId="166" formatCode="0.00 ₽"/>
    <numFmt numFmtId="167" formatCode="0.0%"/>
    <numFmt numFmtId="168" formatCode="0.00 М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sz val="11"/>
    </font>
    <font>
      <name val="Calibri"/>
      <color rgb="000000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EEF0FF"/>
      </patternFill>
    </fill>
    <fill>
      <patternFill patternType="solid">
        <fgColor rgb="00FFE4E6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2" fillId="0" borderId="0" applyAlignment="1" pivotButton="0" quotePrefix="0" xfId="0">
      <alignment vertical="top" wrapText="1"/>
    </xf>
    <xf numFmtId="164" fontId="5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3" fontId="0" fillId="0" borderId="0" pivotButton="0" quotePrefix="0" xfId="0"/>
    <xf numFmtId="165" fontId="5" fillId="3" borderId="1" pivotButton="0" quotePrefix="0" xfId="0"/>
    <xf numFmtId="3" fontId="0" fillId="0" borderId="1" pivotButton="0" quotePrefix="0" xfId="0"/>
    <xf numFmtId="0" fontId="3" fillId="2" borderId="1" pivotButton="0" quotePrefix="0" xfId="0"/>
    <xf numFmtId="9" fontId="5" fillId="3" borderId="1" pivotButton="0" quotePrefix="0" xfId="0"/>
    <xf numFmtId="9" fontId="4" fillId="0" borderId="1" pivotButton="0" quotePrefix="0" xfId="0"/>
    <xf numFmtId="0" fontId="6" fillId="0" borderId="1" pivotButton="0" quotePrefix="0" xfId="0"/>
    <xf numFmtId="9" fontId="6" fillId="0" borderId="1" pivotButton="0" quotePrefix="0" xfId="0"/>
    <xf numFmtId="166" fontId="6" fillId="0" borderId="1" pivotButton="0" quotePrefix="0" xfId="0"/>
    <xf numFmtId="166" fontId="6" fillId="4" borderId="1" pivotButton="0" quotePrefix="0" xfId="0"/>
    <xf numFmtId="165" fontId="0" fillId="5" borderId="1" pivotButton="0" quotePrefix="0" xfId="0"/>
    <xf numFmtId="165" fontId="0" fillId="6" borderId="1" pivotButton="0" quotePrefix="0" xfId="0"/>
    <xf numFmtId="9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4" fillId="6" borderId="1" pivotButton="0" quotePrefix="0" xfId="0"/>
    <xf numFmtId="9" fontId="5" fillId="3" borderId="0" pivotButton="0" quotePrefix="0" xfId="0"/>
    <xf numFmtId="0" fontId="6" fillId="0" borderId="0" pivotButton="0" quotePrefix="0" xfId="0"/>
    <xf numFmtId="167" fontId="6" fillId="4" borderId="0" pivotButton="0" quotePrefix="0" xfId="0"/>
    <xf numFmtId="166" fontId="0" fillId="6" borderId="1" pivotButton="0" quotePrefix="0" xfId="0"/>
    <xf numFmtId="166" fontId="0" fillId="4" borderId="1" pivotButton="0" quotePrefix="0" xfId="0"/>
    <xf numFmtId="3" fontId="4" fillId="0" borderId="1" pivotButton="0" quotePrefix="0" xfId="0"/>
    <xf numFmtId="165" fontId="0" fillId="4" borderId="1" pivotButton="0" quotePrefix="0" xfId="0"/>
    <xf numFmtId="0" fontId="4" fillId="0" borderId="0" applyAlignment="1" pivotButton="0" quotePrefix="0" xfId="0">
      <alignment vertical="top" wrapText="1"/>
    </xf>
    <xf numFmtId="165" fontId="5" fillId="3" borderId="0" pivotButton="0" quotePrefix="0" xfId="0"/>
    <xf numFmtId="3" fontId="5" fillId="3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vertical="top" wrapText="1"/>
    </xf>
    <xf numFmtId="165" fontId="6" fillId="4" borderId="1" pivotButton="0" quotePrefix="0" xfId="0"/>
    <xf numFmtId="165" fontId="6" fillId="6" borderId="1" pivotButton="0" quotePrefix="0" xfId="0"/>
    <xf numFmtId="167" fontId="6" fillId="0" borderId="1" pivotButton="0" quotePrefix="0" xfId="0"/>
    <xf numFmtId="9" fontId="6" fillId="0" borderId="0" pivotButton="0" quotePrefix="0" xfId="0"/>
    <xf numFmtId="165" fontId="6" fillId="4" borderId="0" pivotButton="0" quotePrefix="0" xfId="0"/>
    <xf numFmtId="167" fontId="6" fillId="0" borderId="0" pivotButton="0" quotePrefix="0" xfId="0"/>
    <xf numFmtId="165" fontId="0" fillId="4" borderId="0" pivotButton="0" quotePrefix="0" xfId="0"/>
    <xf numFmtId="3" fontId="6" fillId="6" borderId="0" pivotButton="0" quotePrefix="0" xfId="0"/>
    <xf numFmtId="165" fontId="6" fillId="6" borderId="0" pivotButton="0" quotePrefix="0" xfId="0"/>
    <xf numFmtId="3" fontId="6" fillId="6" borderId="1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pivotButton="0" quotePrefix="0" xfId="0"/>
    <xf numFmtId="165" fontId="4" fillId="0" borderId="0" pivotButton="0" quotePrefix="0" xfId="0"/>
    <xf numFmtId="165" fontId="0" fillId="3" borderId="0" pivotButton="0" quotePrefix="0" xfId="0"/>
    <xf numFmtId="165" fontId="6" fillId="5" borderId="0" pivotButton="0" quotePrefix="0" xfId="0"/>
    <xf numFmtId="165" fontId="6" fillId="0" borderId="0" pivotButton="0" quotePrefix="0" xfId="0"/>
    <xf numFmtId="165" fontId="0" fillId="5" borderId="0" pivotButton="0" quotePrefix="0" xfId="0"/>
    <xf numFmtId="0" fontId="6" fillId="6" borderId="0" pivotButton="0" quotePrefix="0" xfId="0"/>
    <xf numFmtId="0" fontId="4" fillId="5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3" fontId="3" fillId="2" borderId="0" pivotButton="0" quotePrefix="0" xfId="0"/>
    <xf numFmtId="165" fontId="3" fillId="2" borderId="0" pivotButton="0" quotePrefix="0" xfId="0"/>
    <xf numFmtId="167" fontId="5" fillId="3" borderId="0" pivotButton="0" quotePrefix="0" xfId="0"/>
    <xf numFmtId="164" fontId="6" fillId="6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6" fillId="5" borderId="0" pivotButton="0" quotePrefix="0" xfId="0"/>
    <xf numFmtId="167" fontId="0" fillId="0" borderId="0" pivotButton="0" quotePrefix="0" xfId="0"/>
    <xf numFmtId="164" fontId="3" fillId="2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>
      <c r="A1" s="1" t="inlineStr">
        <is>
          <t>Omnia.AI · Токен-экономика — параметры (v1)</t>
        </is>
      </c>
    </row>
    <row r="2" ht="32" customHeight="1">
      <c r="A2" s="2" t="inlineStr">
        <is>
          <t>Все жёлтые ячейки — input. Меняй и пересчитай. Чёрные — формулы.</t>
        </is>
      </c>
    </row>
    <row r="4" ht="32" customHeight="1">
      <c r="A4" s="3" t="inlineStr">
        <is>
          <t>Параметр</t>
        </is>
      </c>
      <c r="B4" s="3" t="inlineStr">
        <is>
          <t>Значение</t>
        </is>
      </c>
      <c r="C4" s="3" t="inlineStr">
        <is>
          <t>Комментарий</t>
        </is>
      </c>
    </row>
    <row r="5">
      <c r="A5" s="4" t="inlineStr">
        <is>
          <t>Курс ₽/$</t>
        </is>
      </c>
      <c r="B5" s="5" t="n">
        <v>100</v>
      </c>
      <c r="C5" s="6" t="inlineStr">
        <is>
          <t>Базовый курс на 2025</t>
        </is>
      </c>
    </row>
    <row r="6">
      <c r="A6" s="4" t="inlineStr">
        <is>
          <t>Markup на токены</t>
        </is>
      </c>
      <c r="B6" s="7" t="n">
        <v>2.8</v>
      </c>
      <c r="C6" s="6" t="inlineStr">
        <is>
          <t>Себестоимость + ~64% маржа на токенах</t>
        </is>
      </c>
    </row>
    <row r="7">
      <c r="A7" s="4" t="inlineStr">
        <is>
          <t>Output share</t>
        </is>
      </c>
      <c r="B7" s="7" t="n">
        <v>0.5</v>
      </c>
      <c r="C7" s="6" t="inlineStr">
        <is>
          <t>Доля output в общем объёме токенов</t>
        </is>
      </c>
    </row>
    <row r="8">
      <c r="A8" s="4" t="inlineStr">
        <is>
          <t>Размер сообщения, токенов</t>
        </is>
      </c>
      <c r="B8" s="5" t="n">
        <v>8000</v>
      </c>
      <c r="C8" s="6" t="inlineStr">
        <is>
          <t>5 000 input + 3 000 output (consrv. среднее)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8 моделей · себестоимость и retail-цена</t>
        </is>
      </c>
    </row>
    <row r="2" ht="32" customHeight="1">
      <c r="A2" s="2" t="inlineStr">
        <is>
          <t>Себест ₽/1М = (цена input × 0.5 + цена output × 0.5) × курс ₽/$. Цена клиенту = себест × наценка 2.8.</t>
        </is>
      </c>
    </row>
    <row r="4" ht="36" customHeight="1">
      <c r="A4" s="8" t="inlineStr">
        <is>
          <t>Модель</t>
        </is>
      </c>
      <c r="B4" s="8" t="inlineStr">
        <is>
          <t>Категория</t>
        </is>
      </c>
      <c r="C4" s="8" t="inlineStr">
        <is>
          <t>Input $/1M</t>
        </is>
      </c>
      <c r="D4" s="8" t="inlineStr">
        <is>
          <t>Output $/1M</t>
        </is>
      </c>
      <c r="E4" s="8" t="inlineStr">
        <is>
          <t>Себест. ₽/1M</t>
        </is>
      </c>
      <c r="F4" s="8" t="inlineStr">
        <is>
          <t>Цена клиенту ₽/1M</t>
        </is>
      </c>
    </row>
    <row r="5">
      <c r="A5" s="9" t="inlineStr">
        <is>
          <t>DeepSeek V3.2</t>
        </is>
      </c>
      <c r="B5" s="9" t="inlineStr">
        <is>
          <t>ультра-эконом</t>
        </is>
      </c>
      <c r="C5" s="10" t="n">
        <v>0.28</v>
      </c>
      <c r="D5" s="10" t="n">
        <v>0.42</v>
      </c>
      <c r="E5" s="11">
        <f>(C5*(1-'1. Параметры'!$B$7)+D5*'1. Параметры'!$B$7)*'1. Параметры'!$B$5</f>
        <v/>
      </c>
      <c r="F5" s="11">
        <f>E5*'1. Параметры'!$B$6</f>
        <v/>
      </c>
    </row>
    <row r="6">
      <c r="A6" s="9" t="inlineStr">
        <is>
          <t>Qwen 3 235B (self-hosted)</t>
        </is>
      </c>
      <c r="B6" s="9" t="inlineStr">
        <is>
          <t>ультра-эконом</t>
        </is>
      </c>
      <c r="C6" s="10" t="n">
        <v>0.5</v>
      </c>
      <c r="D6" s="10" t="n">
        <v>0.5</v>
      </c>
      <c r="E6" s="11">
        <f>(C6*(1-'1. Параметры'!$B$7)+D6*'1. Параметры'!$B$7)*'1. Параметры'!$B$5</f>
        <v/>
      </c>
      <c r="F6" s="11">
        <f>E6*'1. Параметры'!$B$6</f>
        <v/>
      </c>
    </row>
    <row r="7">
      <c r="A7" s="9" t="inlineStr">
        <is>
          <t>Gemini 2.5 Flash</t>
        </is>
      </c>
      <c r="B7" s="9" t="inlineStr">
        <is>
          <t>эконом</t>
        </is>
      </c>
      <c r="C7" s="10" t="n">
        <v>0.3</v>
      </c>
      <c r="D7" s="10" t="n">
        <v>2.5</v>
      </c>
      <c r="E7" s="11">
        <f>(C7*(1-'1. Параметры'!$B$7)+D7*'1. Параметры'!$B$7)*'1. Параметры'!$B$5</f>
        <v/>
      </c>
      <c r="F7" s="11">
        <f>E7*'1. Параметры'!$B$6</f>
        <v/>
      </c>
    </row>
    <row r="8">
      <c r="A8" s="9" t="inlineStr">
        <is>
          <t>Claude Haiku 4.5</t>
        </is>
      </c>
      <c r="B8" s="9" t="inlineStr">
        <is>
          <t>баланс</t>
        </is>
      </c>
      <c r="C8" s="10" t="n">
        <v>1</v>
      </c>
      <c r="D8" s="10" t="n">
        <v>5</v>
      </c>
      <c r="E8" s="11">
        <f>(C8*(1-'1. Параметры'!$B$7)+D8*'1. Параметры'!$B$7)*'1. Параметры'!$B$5</f>
        <v/>
      </c>
      <c r="F8" s="11">
        <f>E8*'1. Параметры'!$B$6</f>
        <v/>
      </c>
    </row>
    <row r="9">
      <c r="A9" s="9" t="inlineStr">
        <is>
          <t>GigaChat 2 Pro</t>
        </is>
      </c>
      <c r="B9" s="9" t="inlineStr">
        <is>
          <t>152-ФЗ</t>
        </is>
      </c>
      <c r="C9" s="10" t="n">
        <v>5</v>
      </c>
      <c r="D9" s="10" t="n">
        <v>5</v>
      </c>
      <c r="E9" s="11">
        <f>(C9*(1-'1. Параметры'!$B$7)+D9*'1. Параметры'!$B$7)*'1. Параметры'!$B$5</f>
        <v/>
      </c>
      <c r="F9" s="11">
        <f>E9*'1. Параметры'!$B$6</f>
        <v/>
      </c>
    </row>
    <row r="10">
      <c r="A10" s="9" t="inlineStr">
        <is>
          <t>GPT-4.1</t>
        </is>
      </c>
      <c r="B10" s="9" t="inlineStr">
        <is>
          <t>премиум</t>
        </is>
      </c>
      <c r="C10" s="10" t="n">
        <v>2</v>
      </c>
      <c r="D10" s="10" t="n">
        <v>8</v>
      </c>
      <c r="E10" s="11">
        <f>(C10*(1-'1. Параметры'!$B$7)+D10*'1. Параметры'!$B$7)*'1. Параметры'!$B$5</f>
        <v/>
      </c>
      <c r="F10" s="11">
        <f>E10*'1. Параметры'!$B$6</f>
        <v/>
      </c>
    </row>
    <row r="11">
      <c r="A11" s="9" t="inlineStr">
        <is>
          <t>Claude Sonnet 4.6</t>
        </is>
      </c>
      <c r="B11" s="9" t="inlineStr">
        <is>
          <t>премиум</t>
        </is>
      </c>
      <c r="C11" s="10" t="n">
        <v>3</v>
      </c>
      <c r="D11" s="10" t="n">
        <v>15</v>
      </c>
      <c r="E11" s="11">
        <f>(C11*(1-'1. Параметры'!$B$7)+D11*'1. Параметры'!$B$7)*'1. Параметры'!$B$5</f>
        <v/>
      </c>
      <c r="F11" s="11">
        <f>E11*'1. Параметры'!$B$6</f>
        <v/>
      </c>
    </row>
    <row r="12">
      <c r="A12" s="9" t="inlineStr">
        <is>
          <t>YandexGPT 5 Pro</t>
        </is>
      </c>
      <c r="B12" s="9" t="inlineStr">
        <is>
          <t>152-ФЗ премиум</t>
        </is>
      </c>
      <c r="C12" s="10" t="n">
        <v>8</v>
      </c>
      <c r="D12" s="10" t="n">
        <v>16</v>
      </c>
      <c r="E12" s="11">
        <f>(C12*(1-'1. Параметры'!$B$7)+D12*'1. Параметры'!$B$7)*'1. Параметры'!$B$5</f>
        <v/>
      </c>
      <c r="F12" s="11">
        <f>E12*'1. Параметры'!$B$6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Стоимость 1 сообщения · 8 000 токенов</t>
        </is>
      </c>
    </row>
    <row r="2" ht="32" customHeight="1">
      <c r="A2" s="2" t="inlineStr">
        <is>
          <t>1 сообщение = размер_сообщения / 1 000 000 миллионов токенов. Меняй msg_size в 1.Параметры.</t>
        </is>
      </c>
    </row>
    <row r="4" ht="36" customHeight="1">
      <c r="A4" s="8" t="inlineStr">
        <is>
          <t>Модель</t>
        </is>
      </c>
      <c r="B4" s="8" t="inlineStr">
        <is>
          <t>Себест ₽/сообщ</t>
        </is>
      </c>
      <c r="C4" s="8" t="inlineStr">
        <is>
          <t>Цена клиенту ₽/сообщ</t>
        </is>
      </c>
      <c r="D4" s="8" t="inlineStr">
        <is>
          <t>Маржа ₽/сообщ</t>
        </is>
      </c>
      <c r="E4" s="8" t="inlineStr">
        <is>
          <t>Маржа %</t>
        </is>
      </c>
    </row>
    <row r="5">
      <c r="A5" s="9" t="inlineStr">
        <is>
          <t>DeepSeek V3.2</t>
        </is>
      </c>
      <c r="B5" s="12">
        <f>'2. Модели LLM'!E5*'1. Параметры'!$B$8/1000000</f>
        <v/>
      </c>
      <c r="C5" s="12">
        <f>'2. Модели LLM'!F5*'1. Параметры'!$B$8/1000000</f>
        <v/>
      </c>
      <c r="D5" s="12">
        <f>C5-B5</f>
        <v/>
      </c>
      <c r="E5" s="13">
        <f>(C5-B5)/C5</f>
        <v/>
      </c>
    </row>
    <row r="6">
      <c r="A6" s="9" t="inlineStr">
        <is>
          <t>Qwen 3 235B (self-hosted)</t>
        </is>
      </c>
      <c r="B6" s="12">
        <f>'2. Модели LLM'!E6*'1. Параметры'!$B$8/1000000</f>
        <v/>
      </c>
      <c r="C6" s="12">
        <f>'2. Модели LLM'!F6*'1. Параметры'!$B$8/1000000</f>
        <v/>
      </c>
      <c r="D6" s="12">
        <f>C6-B6</f>
        <v/>
      </c>
      <c r="E6" s="13">
        <f>(C6-B6)/C6</f>
        <v/>
      </c>
    </row>
    <row r="7">
      <c r="A7" s="9" t="inlineStr">
        <is>
          <t>Gemini 2.5 Flash</t>
        </is>
      </c>
      <c r="B7" s="12">
        <f>'2. Модели LLM'!E7*'1. Параметры'!$B$8/1000000</f>
        <v/>
      </c>
      <c r="C7" s="12">
        <f>'2. Модели LLM'!F7*'1. Параметры'!$B$8/1000000</f>
        <v/>
      </c>
      <c r="D7" s="12">
        <f>C7-B7</f>
        <v/>
      </c>
      <c r="E7" s="13">
        <f>(C7-B7)/C7</f>
        <v/>
      </c>
    </row>
    <row r="8">
      <c r="A8" s="9" t="inlineStr">
        <is>
          <t>Claude Haiku 4.5</t>
        </is>
      </c>
      <c r="B8" s="12">
        <f>'2. Модели LLM'!E8*'1. Параметры'!$B$8/1000000</f>
        <v/>
      </c>
      <c r="C8" s="12">
        <f>'2. Модели LLM'!F8*'1. Параметры'!$B$8/1000000</f>
        <v/>
      </c>
      <c r="D8" s="12">
        <f>C8-B8</f>
        <v/>
      </c>
      <c r="E8" s="13">
        <f>(C8-B8)/C8</f>
        <v/>
      </c>
    </row>
    <row r="9">
      <c r="A9" s="9" t="inlineStr">
        <is>
          <t>GigaChat 2 Pro</t>
        </is>
      </c>
      <c r="B9" s="12">
        <f>'2. Модели LLM'!E9*'1. Параметры'!$B$8/1000000</f>
        <v/>
      </c>
      <c r="C9" s="12">
        <f>'2. Модели LLM'!F9*'1. Параметры'!$B$8/1000000</f>
        <v/>
      </c>
      <c r="D9" s="12">
        <f>C9-B9</f>
        <v/>
      </c>
      <c r="E9" s="13">
        <f>(C9-B9)/C9</f>
        <v/>
      </c>
    </row>
    <row r="10">
      <c r="A10" s="9" t="inlineStr">
        <is>
          <t>GPT-4.1</t>
        </is>
      </c>
      <c r="B10" s="12">
        <f>'2. Модели LLM'!E10*'1. Параметры'!$B$8/1000000</f>
        <v/>
      </c>
      <c r="C10" s="12">
        <f>'2. Модели LLM'!F10*'1. Параметры'!$B$8/1000000</f>
        <v/>
      </c>
      <c r="D10" s="12">
        <f>C10-B10</f>
        <v/>
      </c>
      <c r="E10" s="13">
        <f>(C10-B10)/C10</f>
        <v/>
      </c>
    </row>
    <row r="11">
      <c r="A11" s="9" t="inlineStr">
        <is>
          <t>Claude Sonnet 4.6</t>
        </is>
      </c>
      <c r="B11" s="12">
        <f>'2. Модели LLM'!E11*'1. Параметры'!$B$8/1000000</f>
        <v/>
      </c>
      <c r="C11" s="12">
        <f>'2. Модели LLM'!F11*'1. Параметры'!$B$8/1000000</f>
        <v/>
      </c>
      <c r="D11" s="12">
        <f>C11-B11</f>
        <v/>
      </c>
      <c r="E11" s="13">
        <f>(C11-B11)/C11</f>
        <v/>
      </c>
    </row>
    <row r="12">
      <c r="A12" s="9" t="inlineStr">
        <is>
          <t>YandexGPT 5 Pro</t>
        </is>
      </c>
      <c r="B12" s="12">
        <f>'2. Модели LLM'!E12*'1. Параметры'!$B$8/1000000</f>
        <v/>
      </c>
      <c r="C12" s="12">
        <f>'2. Модели LLM'!F12*'1. Параметры'!$B$8/1000000</f>
        <v/>
      </c>
      <c r="D12" s="12">
        <f>C12-B12</f>
        <v/>
      </c>
      <c r="E12" s="13">
        <f>(C12-B12)/C12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Сколько стоит 50 / 200 / 1 000 сообщений</t>
        </is>
      </c>
    </row>
    <row r="2" ht="32" customHeight="1">
      <c r="A2" s="2" t="inlineStr">
        <is>
          <t>Цена что заплатит клиент · меняй размер сообщения в 1. Параметры.</t>
        </is>
      </c>
    </row>
    <row r="4" ht="36" customHeight="1">
      <c r="A4" s="8" t="inlineStr">
        <is>
          <t>Модель</t>
        </is>
      </c>
      <c r="B4" s="8" t="inlineStr">
        <is>
          <t>50 сообщений</t>
        </is>
      </c>
      <c r="C4" s="8" t="inlineStr">
        <is>
          <t>200 сообщений</t>
        </is>
      </c>
      <c r="D4" s="8" t="inlineStr">
        <is>
          <t>1 000 сообщений</t>
        </is>
      </c>
      <c r="E4" s="8" t="inlineStr">
        <is>
          <t>Токенов всего</t>
        </is>
      </c>
    </row>
    <row r="5">
      <c r="A5" s="9" t="inlineStr">
        <is>
          <t>DeepSeek V3.2</t>
        </is>
      </c>
      <c r="B5" s="11">
        <f>'3. Цена сообщения'!C5*50</f>
        <v/>
      </c>
      <c r="C5" s="11">
        <f>'3. Цена сообщения'!C5*200</f>
        <v/>
      </c>
      <c r="D5" s="11">
        <f>'3. Цена сообщения'!C5*1000</f>
        <v/>
      </c>
      <c r="E5" s="14">
        <f>1000*'1. Параметры'!$B$8/1000000</f>
        <v/>
      </c>
    </row>
    <row r="6">
      <c r="A6" s="9" t="inlineStr">
        <is>
          <t>Qwen 3 235B (self-hosted)</t>
        </is>
      </c>
      <c r="B6" s="11">
        <f>'3. Цена сообщения'!C6*50</f>
        <v/>
      </c>
      <c r="C6" s="11">
        <f>'3. Цена сообщения'!C6*200</f>
        <v/>
      </c>
      <c r="D6" s="11">
        <f>'3. Цена сообщения'!C6*1000</f>
        <v/>
      </c>
      <c r="E6" s="14">
        <f>1000*'1. Параметры'!$B$8/1000000</f>
        <v/>
      </c>
    </row>
    <row r="7">
      <c r="A7" s="9" t="inlineStr">
        <is>
          <t>Gemini 2.5 Flash</t>
        </is>
      </c>
      <c r="B7" s="11">
        <f>'3. Цена сообщения'!C7*50</f>
        <v/>
      </c>
      <c r="C7" s="11">
        <f>'3. Цена сообщения'!C7*200</f>
        <v/>
      </c>
      <c r="D7" s="11">
        <f>'3. Цена сообщения'!C7*1000</f>
        <v/>
      </c>
      <c r="E7" s="14">
        <f>1000*'1. Параметры'!$B$8/1000000</f>
        <v/>
      </c>
    </row>
    <row r="8">
      <c r="A8" s="9" t="inlineStr">
        <is>
          <t>Claude Haiku 4.5</t>
        </is>
      </c>
      <c r="B8" s="11">
        <f>'3. Цена сообщения'!C8*50</f>
        <v/>
      </c>
      <c r="C8" s="11">
        <f>'3. Цена сообщения'!C8*200</f>
        <v/>
      </c>
      <c r="D8" s="11">
        <f>'3. Цена сообщения'!C8*1000</f>
        <v/>
      </c>
      <c r="E8" s="14">
        <f>1000*'1. Параметры'!$B$8/1000000</f>
        <v/>
      </c>
    </row>
    <row r="9">
      <c r="A9" s="9" t="inlineStr">
        <is>
          <t>GigaChat 2 Pro</t>
        </is>
      </c>
      <c r="B9" s="11">
        <f>'3. Цена сообщения'!C9*50</f>
        <v/>
      </c>
      <c r="C9" s="11">
        <f>'3. Цена сообщения'!C9*200</f>
        <v/>
      </c>
      <c r="D9" s="11">
        <f>'3. Цена сообщения'!C9*1000</f>
        <v/>
      </c>
      <c r="E9" s="14">
        <f>1000*'1. Параметры'!$B$8/1000000</f>
        <v/>
      </c>
    </row>
    <row r="10">
      <c r="A10" s="9" t="inlineStr">
        <is>
          <t>GPT-4.1</t>
        </is>
      </c>
      <c r="B10" s="11">
        <f>'3. Цена сообщения'!C10*50</f>
        <v/>
      </c>
      <c r="C10" s="11">
        <f>'3. Цена сообщения'!C10*200</f>
        <v/>
      </c>
      <c r="D10" s="11">
        <f>'3. Цена сообщения'!C10*1000</f>
        <v/>
      </c>
      <c r="E10" s="14">
        <f>1000*'1. Параметры'!$B$8/1000000</f>
        <v/>
      </c>
    </row>
    <row r="11">
      <c r="A11" s="9" t="inlineStr">
        <is>
          <t>Claude Sonnet 4.6</t>
        </is>
      </c>
      <c r="B11" s="11">
        <f>'3. Цена сообщения'!C11*50</f>
        <v/>
      </c>
      <c r="C11" s="11">
        <f>'3. Цена сообщения'!C11*200</f>
        <v/>
      </c>
      <c r="D11" s="11">
        <f>'3. Цена сообщения'!C11*1000</f>
        <v/>
      </c>
      <c r="E11" s="14">
        <f>1000*'1. Параметры'!$B$8/1000000</f>
        <v/>
      </c>
    </row>
    <row r="12">
      <c r="A12" s="9" t="inlineStr">
        <is>
          <t>YandexGPT 5 Pro</t>
        </is>
      </c>
      <c r="B12" s="11">
        <f>'3. Цена сообщения'!C12*50</f>
        <v/>
      </c>
      <c r="C12" s="11">
        <f>'3. Цена сообщения'!C12*200</f>
        <v/>
      </c>
      <c r="D12" s="11">
        <f>'3. Цена сообщения'!C12*1000</f>
        <v/>
      </c>
      <c r="E12" s="14">
        <f>1000*'1. Параметры'!$B$8/1000000</f>
        <v/>
      </c>
    </row>
    <row r="13">
      <c r="A13" s="15" t="n"/>
      <c r="B13" s="15" t="n"/>
      <c r="C13" s="15" t="n"/>
      <c r="D13" s="15" t="n"/>
      <c r="E13" s="15" t="n"/>
    </row>
    <row r="14">
      <c r="A14" s="2" t="inlineStr">
        <is>
          <t>Токенов суммарно (для 1 000 msg)</t>
        </is>
      </c>
      <c r="B14" s="16">
        <f>50*'1. Параметры'!$B$8</f>
        <v/>
      </c>
      <c r="C14" s="16">
        <f>200*'1. Параметры'!$B$8</f>
        <v/>
      </c>
      <c r="D14" s="16">
        <f>1000*'1. Параметры'!$B$8</f>
        <v/>
      </c>
      <c r="E14" s="2" t="inlineStr">
        <is>
          <t>токенов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Сколько сообщений покрывает кошелёк каждого тарифа</t>
        </is>
      </c>
    </row>
    <row r="2" ht="32" customHeight="1">
      <c r="A2" s="2" t="inlineStr">
        <is>
          <t>Если пользователь использует только одну модель.</t>
        </is>
      </c>
    </row>
    <row r="4" ht="36" customHeight="1">
      <c r="A4" s="8" t="inlineStr">
        <is>
          <t>Тариф</t>
        </is>
      </c>
      <c r="B4" s="8" t="inlineStr">
        <is>
          <t>Кошелёк ₽</t>
        </is>
      </c>
      <c r="C4" s="8" t="inlineStr">
        <is>
          <t>DeepSeek</t>
        </is>
      </c>
      <c r="D4" s="8" t="inlineStr">
        <is>
          <t>Qwen</t>
        </is>
      </c>
      <c r="E4" s="8" t="inlineStr">
        <is>
          <t>Gemini Flash</t>
        </is>
      </c>
      <c r="F4" s="8" t="inlineStr">
        <is>
          <t>Haiku 4.5</t>
        </is>
      </c>
      <c r="G4" s="8" t="inlineStr">
        <is>
          <t>GigaChat</t>
        </is>
      </c>
      <c r="H4" s="8" t="inlineStr">
        <is>
          <t>GPT-4.1</t>
        </is>
      </c>
      <c r="I4" s="8" t="inlineStr">
        <is>
          <t>Sonnet 4.6</t>
        </is>
      </c>
      <c r="J4" s="8" t="inlineStr">
        <is>
          <t>YandexGPT</t>
        </is>
      </c>
    </row>
    <row r="5">
      <c r="A5" s="9" t="inlineStr">
        <is>
          <t>Free (5 дней)</t>
        </is>
      </c>
      <c r="B5" s="17" t="n">
        <v>500</v>
      </c>
      <c r="C5" s="18">
        <f>ROUNDDOWN(B5/'3. Цена сообщения'!C5,0)</f>
        <v/>
      </c>
      <c r="D5" s="18">
        <f>ROUNDDOWN(B5/'3. Цена сообщения'!C6,0)</f>
        <v/>
      </c>
      <c r="E5" s="18">
        <f>ROUNDDOWN(B5/'3. Цена сообщения'!C7,0)</f>
        <v/>
      </c>
      <c r="F5" s="18">
        <f>ROUNDDOWN(B5/'3. Цена сообщения'!C8,0)</f>
        <v/>
      </c>
      <c r="G5" s="18">
        <f>ROUNDDOWN(B5/'3. Цена сообщения'!C9,0)</f>
        <v/>
      </c>
      <c r="H5" s="18">
        <f>ROUNDDOWN(B5/'3. Цена сообщения'!C10,0)</f>
        <v/>
      </c>
      <c r="I5" s="18">
        <f>ROUNDDOWN(B5/'3. Цена сообщения'!C11,0)</f>
        <v/>
      </c>
      <c r="J5" s="18">
        <f>ROUNDDOWN(B5/'3. Цена сообщения'!C12,0)</f>
        <v/>
      </c>
    </row>
    <row r="6">
      <c r="A6" s="9" t="inlineStr">
        <is>
          <t>Lite</t>
        </is>
      </c>
      <c r="B6" s="17" t="n">
        <v>1000</v>
      </c>
      <c r="C6" s="18">
        <f>ROUNDDOWN(B6/'3. Цена сообщения'!C5,0)</f>
        <v/>
      </c>
      <c r="D6" s="18">
        <f>ROUNDDOWN(B6/'3. Цена сообщения'!C6,0)</f>
        <v/>
      </c>
      <c r="E6" s="18">
        <f>ROUNDDOWN(B6/'3. Цена сообщения'!C7,0)</f>
        <v/>
      </c>
      <c r="F6" s="18">
        <f>ROUNDDOWN(B6/'3. Цена сообщения'!C8,0)</f>
        <v/>
      </c>
      <c r="G6" s="18">
        <f>ROUNDDOWN(B6/'3. Цена сообщения'!C9,0)</f>
        <v/>
      </c>
      <c r="H6" s="18">
        <f>ROUNDDOWN(B6/'3. Цена сообщения'!C10,0)</f>
        <v/>
      </c>
      <c r="I6" s="18">
        <f>ROUNDDOWN(B6/'3. Цена сообщения'!C11,0)</f>
        <v/>
      </c>
      <c r="J6" s="18">
        <f>ROUNDDOWN(B6/'3. Цена сообщения'!C12,0)</f>
        <v/>
      </c>
    </row>
    <row r="7">
      <c r="A7" s="9" t="inlineStr">
        <is>
          <t>Starter</t>
        </is>
      </c>
      <c r="B7" s="17" t="n">
        <v>2500</v>
      </c>
      <c r="C7" s="18">
        <f>ROUNDDOWN(B7/'3. Цена сообщения'!C5,0)</f>
        <v/>
      </c>
      <c r="D7" s="18">
        <f>ROUNDDOWN(B7/'3. Цена сообщения'!C6,0)</f>
        <v/>
      </c>
      <c r="E7" s="18">
        <f>ROUNDDOWN(B7/'3. Цена сообщения'!C7,0)</f>
        <v/>
      </c>
      <c r="F7" s="18">
        <f>ROUNDDOWN(B7/'3. Цена сообщения'!C8,0)</f>
        <v/>
      </c>
      <c r="G7" s="18">
        <f>ROUNDDOWN(B7/'3. Цена сообщения'!C9,0)</f>
        <v/>
      </c>
      <c r="H7" s="18">
        <f>ROUNDDOWN(B7/'3. Цена сообщения'!C10,0)</f>
        <v/>
      </c>
      <c r="I7" s="18">
        <f>ROUNDDOWN(B7/'3. Цена сообщения'!C11,0)</f>
        <v/>
      </c>
      <c r="J7" s="18">
        <f>ROUNDDOWN(B7/'3. Цена сообщения'!C12,0)</f>
        <v/>
      </c>
    </row>
    <row r="8">
      <c r="A8" s="9" t="inlineStr">
        <is>
          <t>Pro</t>
        </is>
      </c>
      <c r="B8" s="17" t="n">
        <v>6000</v>
      </c>
      <c r="C8" s="18">
        <f>ROUNDDOWN(B8/'3. Цена сообщения'!C5,0)</f>
        <v/>
      </c>
      <c r="D8" s="18">
        <f>ROUNDDOWN(B8/'3. Цена сообщения'!C6,0)</f>
        <v/>
      </c>
      <c r="E8" s="18">
        <f>ROUNDDOWN(B8/'3. Цена сообщения'!C7,0)</f>
        <v/>
      </c>
      <c r="F8" s="18">
        <f>ROUNDDOWN(B8/'3. Цена сообщения'!C8,0)</f>
        <v/>
      </c>
      <c r="G8" s="18">
        <f>ROUNDDOWN(B8/'3. Цена сообщения'!C9,0)</f>
        <v/>
      </c>
      <c r="H8" s="18">
        <f>ROUNDDOWN(B8/'3. Цена сообщения'!C10,0)</f>
        <v/>
      </c>
      <c r="I8" s="18">
        <f>ROUNDDOWN(B8/'3. Цена сообщения'!C11,0)</f>
        <v/>
      </c>
      <c r="J8" s="18">
        <f>ROUNDDOWN(B8/'3. Цена сообщения'!C12,0)</f>
        <v/>
      </c>
    </row>
    <row r="9">
      <c r="A9" s="9" t="inlineStr">
        <is>
          <t>Enterprise</t>
        </is>
      </c>
      <c r="B9" s="17" t="n">
        <v>18000</v>
      </c>
      <c r="C9" s="18">
        <f>ROUNDDOWN(B9/'3. Цена сообщения'!C5,0)</f>
        <v/>
      </c>
      <c r="D9" s="18">
        <f>ROUNDDOWN(B9/'3. Цена сообщения'!C6,0)</f>
        <v/>
      </c>
      <c r="E9" s="18">
        <f>ROUNDDOWN(B9/'3. Цена сообщения'!C7,0)</f>
        <v/>
      </c>
      <c r="F9" s="18">
        <f>ROUNDDOWN(B9/'3. Цена сообщения'!C8,0)</f>
        <v/>
      </c>
      <c r="G9" s="18">
        <f>ROUNDDOWN(B9/'3. Цена сообщения'!C9,0)</f>
        <v/>
      </c>
      <c r="H9" s="18">
        <f>ROUNDDOWN(B9/'3. Цена сообщения'!C10,0)</f>
        <v/>
      </c>
      <c r="I9" s="18">
        <f>ROUNDDOWN(B9/'3. Цена сообщения'!C11,0)</f>
        <v/>
      </c>
      <c r="J9" s="18">
        <f>ROUNDDOWN(B9/'3. Цена сообщения'!C12,0)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4 типичных профиля пользователя</t>
        </is>
      </c>
    </row>
    <row r="2" ht="32" customHeight="1">
      <c r="A2" s="2" t="inlineStr">
        <is>
          <t>Меняй веса в столбце B — пересчёт автоматический.</t>
        </is>
      </c>
    </row>
    <row r="4">
      <c r="A4" s="19" t="inlineStr">
        <is>
          <t>Модель</t>
        </is>
      </c>
      <c r="B4" s="8" t="inlineStr">
        <is>
          <t>A. MVP-эконом</t>
        </is>
      </c>
      <c r="C4" s="8" t="inlineStr">
        <is>
          <t>B. Балансный</t>
        </is>
      </c>
      <c r="D4" s="8" t="inlineStr">
        <is>
          <t>C. Премиум</t>
        </is>
      </c>
      <c r="E4" s="8" t="inlineStr">
        <is>
          <t>D. 152-ФЗ</t>
        </is>
      </c>
    </row>
    <row r="5">
      <c r="A5" s="9" t="inlineStr">
        <is>
          <t>DeepSeek V3.2</t>
        </is>
      </c>
      <c r="B5" s="20" t="n">
        <v>0.7</v>
      </c>
      <c r="C5" s="20" t="n">
        <v>0.4</v>
      </c>
      <c r="D5" s="21" t="n">
        <v>0</v>
      </c>
      <c r="E5" s="21" t="n">
        <v>0</v>
      </c>
    </row>
    <row r="6">
      <c r="A6" s="9" t="inlineStr">
        <is>
          <t>Qwen 3 235B</t>
        </is>
      </c>
      <c r="B6" s="21" t="n">
        <v>0</v>
      </c>
      <c r="C6" s="21" t="n">
        <v>0</v>
      </c>
      <c r="D6" s="21" t="n">
        <v>0</v>
      </c>
      <c r="E6" s="21" t="n">
        <v>0</v>
      </c>
    </row>
    <row r="7">
      <c r="A7" s="9" t="inlineStr">
        <is>
          <t>Gemini 2.5 Flash</t>
        </is>
      </c>
      <c r="B7" s="21" t="n">
        <v>0</v>
      </c>
      <c r="C7" s="20" t="n">
        <v>0.2</v>
      </c>
      <c r="D7" s="21" t="n">
        <v>0</v>
      </c>
      <c r="E7" s="21" t="n">
        <v>0</v>
      </c>
    </row>
    <row r="8">
      <c r="A8" s="9" t="inlineStr">
        <is>
          <t>Claude Haiku 4.5</t>
        </is>
      </c>
      <c r="B8" s="20" t="n">
        <v>0.2</v>
      </c>
      <c r="C8" s="20" t="n">
        <v>0.3</v>
      </c>
      <c r="D8" s="20" t="n">
        <v>0.3</v>
      </c>
      <c r="E8" s="21" t="n">
        <v>0</v>
      </c>
    </row>
    <row r="9">
      <c r="A9" s="9" t="inlineStr">
        <is>
          <t>GigaChat 2 Pro</t>
        </is>
      </c>
      <c r="B9" s="21" t="n">
        <v>0</v>
      </c>
      <c r="C9" s="21" t="n">
        <v>0</v>
      </c>
      <c r="D9" s="21" t="n">
        <v>0</v>
      </c>
      <c r="E9" s="20" t="n">
        <v>0.3</v>
      </c>
    </row>
    <row r="10">
      <c r="A10" s="9" t="inlineStr">
        <is>
          <t>GPT-4.1</t>
        </is>
      </c>
      <c r="B10" s="21" t="n">
        <v>0</v>
      </c>
      <c r="C10" s="21" t="n">
        <v>0</v>
      </c>
      <c r="D10" s="20" t="n">
        <v>0.2</v>
      </c>
      <c r="E10" s="21" t="n">
        <v>0</v>
      </c>
    </row>
    <row r="11">
      <c r="A11" s="9" t="inlineStr">
        <is>
          <t>Claude Sonnet 4.6</t>
        </is>
      </c>
      <c r="B11" s="20" t="n">
        <v>0.1</v>
      </c>
      <c r="C11" s="20" t="n">
        <v>0.1</v>
      </c>
      <c r="D11" s="20" t="n">
        <v>0.5</v>
      </c>
      <c r="E11" s="20" t="n">
        <v>0.1</v>
      </c>
    </row>
    <row r="12">
      <c r="A12" s="9" t="inlineStr">
        <is>
          <t>YandexGPT 5 Pro</t>
        </is>
      </c>
      <c r="B12" s="21" t="n">
        <v>0</v>
      </c>
      <c r="C12" s="21" t="n">
        <v>0</v>
      </c>
      <c r="D12" s="21" t="n">
        <v>0</v>
      </c>
      <c r="E12" s="20" t="n">
        <v>0.6</v>
      </c>
    </row>
    <row r="13">
      <c r="A13" s="22" t="inlineStr">
        <is>
          <t>Сумма (должна = 100%)</t>
        </is>
      </c>
      <c r="B13" s="23">
        <f>SUM(B5:B12)</f>
        <v/>
      </c>
      <c r="C13" s="23">
        <f>SUM(C5:C12)</f>
        <v/>
      </c>
      <c r="D13" s="23">
        <f>SUM(D5:D12)</f>
        <v/>
      </c>
      <c r="E13" s="23">
        <f>SUM(E5:E12)</f>
        <v/>
      </c>
    </row>
    <row r="14">
      <c r="A14" s="15" t="n"/>
      <c r="B14" s="15" t="n"/>
      <c r="C14" s="15" t="n"/>
      <c r="D14" s="15" t="n"/>
      <c r="E14" s="15" t="n"/>
    </row>
    <row r="15">
      <c r="A15" s="19" t="inlineStr">
        <is>
          <t>Себест ₽/сообщ</t>
        </is>
      </c>
      <c r="B15" s="24">
        <f>SUMPRODUCT(B5:B12,'3. Цена сообщения'!B5:B12)</f>
        <v/>
      </c>
      <c r="C15" s="24">
        <f>SUMPRODUCT(C5:C12,'3. Цена сообщения'!B5:B12)</f>
        <v/>
      </c>
      <c r="D15" s="24">
        <f>SUMPRODUCT(D5:D12,'3. Цена сообщения'!B5:B12)</f>
        <v/>
      </c>
      <c r="E15" s="24">
        <f>SUMPRODUCT(E5:E12,'3. Цена сообщения'!B5:B12)</f>
        <v/>
      </c>
    </row>
    <row r="16">
      <c r="A16" s="19" t="inlineStr">
        <is>
          <t>Цена клиенту ₽/сообщ</t>
        </is>
      </c>
      <c r="B16" s="25">
        <f>SUMPRODUCT(B5:B12,'3. Цена сообщения'!C5:C12)</f>
        <v/>
      </c>
      <c r="C16" s="25">
        <f>SUMPRODUCT(C5:C12,'3. Цена сообщения'!C5:C12)</f>
        <v/>
      </c>
      <c r="D16" s="25">
        <f>SUMPRODUCT(D5:D12,'3. Цена сообщения'!C5:C12)</f>
        <v/>
      </c>
      <c r="E16" s="25">
        <f>SUMPRODUCT(E5:E12,'3. Цена сообщения'!C5:C12)</f>
        <v/>
      </c>
    </row>
    <row r="17">
      <c r="A17" s="15" t="n"/>
      <c r="B17" s="15" t="n"/>
      <c r="C17" s="15" t="n"/>
      <c r="D17" s="15" t="n"/>
      <c r="E17" s="15" t="n"/>
    </row>
    <row r="18">
      <c r="A18" s="9" t="inlineStr">
        <is>
          <t>50 сообщений (₽)</t>
        </is>
      </c>
      <c r="B18" s="11">
        <f>B16*50</f>
        <v/>
      </c>
      <c r="C18" s="11">
        <f>C16*50</f>
        <v/>
      </c>
      <c r="D18" s="11">
        <f>D16*50</f>
        <v/>
      </c>
      <c r="E18" s="11">
        <f>E16*50</f>
        <v/>
      </c>
    </row>
    <row r="19">
      <c r="A19" s="9" t="inlineStr">
        <is>
          <t>200 сообщений (₽)</t>
        </is>
      </c>
      <c r="B19" s="11">
        <f>B16*200</f>
        <v/>
      </c>
      <c r="C19" s="11">
        <f>C16*200</f>
        <v/>
      </c>
      <c r="D19" s="11">
        <f>D16*200</f>
        <v/>
      </c>
      <c r="E19" s="11">
        <f>E16*200</f>
        <v/>
      </c>
    </row>
    <row r="20">
      <c r="A20" s="9" t="inlineStr">
        <is>
          <t>1 000 сообщений (₽)</t>
        </is>
      </c>
      <c r="B20" s="11">
        <f>B16*1000</f>
        <v/>
      </c>
      <c r="C20" s="11">
        <f>C16*1000</f>
        <v/>
      </c>
      <c r="D20" s="11">
        <f>D16*1000</f>
        <v/>
      </c>
      <c r="E20" s="11">
        <f>E16*1000</f>
        <v/>
      </c>
    </row>
    <row r="21">
      <c r="A21" s="15" t="n"/>
      <c r="B21" s="15" t="n"/>
      <c r="C21" s="15" t="n"/>
      <c r="D21" s="15" t="n"/>
      <c r="E21" s="15" t="n"/>
    </row>
    <row r="22">
      <c r="A22" s="9" t="inlineStr">
        <is>
          <t>Сообщений на 1 000 ₽ кошелёк (Lite)</t>
        </is>
      </c>
      <c r="B22" s="18">
        <f>ROUNDDOWN(1000/B16,0)</f>
        <v/>
      </c>
      <c r="C22" s="18">
        <f>ROUNDDOWN(1000/C16,0)</f>
        <v/>
      </c>
      <c r="D22" s="18">
        <f>ROUNDDOWN(1000/D16,0)</f>
        <v/>
      </c>
      <c r="E22" s="18">
        <f>ROUNDDOWN(1000/E16,0)</f>
        <v/>
      </c>
    </row>
    <row r="23">
      <c r="A23" s="9" t="inlineStr">
        <is>
          <t>Сообщений на 2 500 ₽ (Starter)</t>
        </is>
      </c>
      <c r="B23" s="18">
        <f>ROUNDDOWN(2500/B16,0)</f>
        <v/>
      </c>
      <c r="C23" s="18">
        <f>ROUNDDOWN(2500/C16,0)</f>
        <v/>
      </c>
      <c r="D23" s="18">
        <f>ROUNDDOWN(2500/D16,0)</f>
        <v/>
      </c>
      <c r="E23" s="18">
        <f>ROUNDDOWN(2500/E16,0)</f>
        <v/>
      </c>
    </row>
    <row r="24">
      <c r="A24" s="9" t="inlineStr">
        <is>
          <t>Сообщений на 6 000 ₽ (Pro)</t>
        </is>
      </c>
      <c r="B24" s="18">
        <f>ROUNDDOWN(6000/B16,0)</f>
        <v/>
      </c>
      <c r="C24" s="18">
        <f>ROUNDDOWN(6000/C16,0)</f>
        <v/>
      </c>
      <c r="D24" s="18">
        <f>ROUNDDOWN(6000/D16,0)</f>
        <v/>
      </c>
      <c r="E24" s="18">
        <f>ROUNDDOWN(6000/E16,0)</f>
        <v/>
      </c>
    </row>
    <row r="25">
      <c r="A25" s="9" t="inlineStr">
        <is>
          <t>Сообщений на 18 000 ₽ (Enterprise)</t>
        </is>
      </c>
      <c r="B25" s="18">
        <f>ROUNDDOWN(18000/B16,0)</f>
        <v/>
      </c>
      <c r="C25" s="18">
        <f>ROUNDDOWN(18000/C16,0)</f>
        <v/>
      </c>
      <c r="D25" s="18">
        <f>ROUNDDOWN(18000/D16,0)</f>
        <v/>
      </c>
      <c r="E25" s="18">
        <f>ROUNDDOWN(18000/E16,0)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  <col width="12" customWidth="1" min="9" max="9"/>
  </cols>
  <sheetData>
    <row r="1">
      <c r="A1" s="1" t="inlineStr">
        <is>
          <t>Маржа платформы при условии что user сжигает весь кошелёк</t>
        </is>
      </c>
    </row>
    <row r="2" ht="32" customHeight="1">
      <c r="A2" s="2" t="inlineStr">
        <is>
          <t>Профиль B (балансный) — типичный SMB. Меняй цены/кошельки в синих ячейках.</t>
        </is>
      </c>
    </row>
    <row r="4" ht="36" customHeight="1">
      <c r="A4" s="8" t="inlineStr">
        <is>
          <t>Тариф</t>
        </is>
      </c>
      <c r="B4" s="8" t="inlineStr">
        <is>
          <t>Цена ₽/мес</t>
        </is>
      </c>
      <c r="C4" s="8" t="inlineStr">
        <is>
          <t>Кошелёк ₽</t>
        </is>
      </c>
      <c r="D4" s="8" t="inlineStr">
        <is>
          <t>LLM-COGS ₽</t>
        </is>
      </c>
      <c r="E4" s="8" t="inlineStr">
        <is>
          <t>Сервер COGS ₽</t>
        </is>
      </c>
      <c r="F4" s="8" t="inlineStr">
        <is>
          <t>Платёжная комиссия (3%)</t>
        </is>
      </c>
      <c r="G4" s="8" t="inlineStr">
        <is>
          <t>Прочее (+10%)</t>
        </is>
      </c>
      <c r="H4" s="8" t="inlineStr">
        <is>
          <t>Маржа ₽/мес</t>
        </is>
      </c>
      <c r="I4" s="8" t="inlineStr">
        <is>
          <t>Маржа %</t>
        </is>
      </c>
    </row>
    <row r="5">
      <c r="A5" s="9" t="inlineStr">
        <is>
          <t>Free</t>
        </is>
      </c>
      <c r="B5" s="17" t="n">
        <v>0</v>
      </c>
      <c r="C5" s="17" t="n">
        <v>500</v>
      </c>
      <c r="D5" s="11">
        <f>C5*'6. Mix-сценарии'!C15/'6. Mix-сценарии'!C16</f>
        <v/>
      </c>
      <c r="E5" s="11" t="n">
        <v>0</v>
      </c>
      <c r="F5" s="11">
        <f>B5*0.03</f>
        <v/>
      </c>
      <c r="G5" s="11">
        <f>B5*0.10</f>
        <v/>
      </c>
      <c r="H5" s="26">
        <f>B5-D5-E5-F5-G5</f>
        <v/>
      </c>
      <c r="I5" s="13">
        <f>IF(B5=0,0,H5/B5)</f>
        <v/>
      </c>
    </row>
    <row r="6">
      <c r="A6" s="9" t="inlineStr">
        <is>
          <t>Lite</t>
        </is>
      </c>
      <c r="B6" s="17" t="n">
        <v>990</v>
      </c>
      <c r="C6" s="17" t="n">
        <v>1000</v>
      </c>
      <c r="D6" s="11">
        <f>C6*'6. Mix-сценарии'!C15/'6. Mix-сценарии'!C16</f>
        <v/>
      </c>
      <c r="E6" s="11" t="n">
        <v>0</v>
      </c>
      <c r="F6" s="11">
        <f>B6*0.03</f>
        <v/>
      </c>
      <c r="G6" s="11">
        <f>B6*0.10</f>
        <v/>
      </c>
      <c r="H6" s="26">
        <f>B6-D6-E6-F6-G6</f>
        <v/>
      </c>
      <c r="I6" s="13">
        <f>IF(B6=0,0,H6/B6)</f>
        <v/>
      </c>
    </row>
    <row r="7">
      <c r="A7" s="9" t="inlineStr">
        <is>
          <t>Starter</t>
        </is>
      </c>
      <c r="B7" s="17" t="n">
        <v>2990</v>
      </c>
      <c r="C7" s="17" t="n">
        <v>2500</v>
      </c>
      <c r="D7" s="11">
        <f>C7*'6. Mix-сценарии'!C15/'6. Mix-сценарии'!C16</f>
        <v/>
      </c>
      <c r="E7" s="11" t="n">
        <v>600</v>
      </c>
      <c r="F7" s="11">
        <f>B7*0.03</f>
        <v/>
      </c>
      <c r="G7" s="11">
        <f>B7*0.10</f>
        <v/>
      </c>
      <c r="H7" s="27">
        <f>B7-D7-E7-F7-G7</f>
        <v/>
      </c>
      <c r="I7" s="13">
        <f>IF(B7=0,0,H7/B7)</f>
        <v/>
      </c>
    </row>
    <row r="8">
      <c r="A8" s="9" t="inlineStr">
        <is>
          <t>Pro</t>
        </is>
      </c>
      <c r="B8" s="17" t="n">
        <v>7990</v>
      </c>
      <c r="C8" s="17" t="n">
        <v>6000</v>
      </c>
      <c r="D8" s="11">
        <f>C8*'6. Mix-сценарии'!C15/'6. Mix-сценарии'!C16</f>
        <v/>
      </c>
      <c r="E8" s="11" t="n">
        <v>3000</v>
      </c>
      <c r="F8" s="11">
        <f>B8*0.03</f>
        <v/>
      </c>
      <c r="G8" s="11">
        <f>B8*0.10</f>
        <v/>
      </c>
      <c r="H8" s="27">
        <f>B8-D8-E8-F8-G8</f>
        <v/>
      </c>
      <c r="I8" s="13">
        <f>IF(B8=0,0,H8/B8)</f>
        <v/>
      </c>
    </row>
    <row r="9">
      <c r="A9" s="9" t="inlineStr">
        <is>
          <t>Enterprise</t>
        </is>
      </c>
      <c r="B9" s="17" t="n">
        <v>19990</v>
      </c>
      <c r="C9" s="17" t="n">
        <v>18000</v>
      </c>
      <c r="D9" s="11">
        <f>C9*'6. Mix-сценарии'!C15/'6. Mix-сценарии'!C16</f>
        <v/>
      </c>
      <c r="E9" s="11" t="n">
        <v>8000</v>
      </c>
      <c r="F9" s="11">
        <f>B9*0.03</f>
        <v/>
      </c>
      <c r="G9" s="11">
        <f>B9*0.10</f>
        <v/>
      </c>
      <c r="H9" s="27">
        <f>B9-D9-E9-F9-G9</f>
        <v/>
      </c>
      <c r="I9" s="13">
        <f>IF(B9=0,0,H9/B9)</f>
        <v/>
      </c>
    </row>
    <row r="12">
      <c r="A12" s="2" t="inlineStr">
        <is>
          <t>Free отрицателен = это lead-magnet. Окупается через 12% conversion в Lite.</t>
        </is>
      </c>
    </row>
    <row r="13">
      <c r="A13" s="2" t="inlineStr">
        <is>
          <t>LLM-COGS считается через Mix-профиль B. Если user полностью на DeepSeek — маржа выше; если на Sonnet — может уйти в минус.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Чувствительность к размеру сообщения</t>
        </is>
      </c>
    </row>
    <row r="2" ht="32" customHeight="1">
      <c r="A2" s="2" t="inlineStr">
        <is>
          <t>Если средний msg = 4K (мелкие правки) / 8K (стандарт) / 16K (большие фичи) / 30K (полная страница)</t>
        </is>
      </c>
    </row>
    <row r="4" ht="36" customHeight="1">
      <c r="A4" s="8" t="inlineStr">
        <is>
          <t>Модель (на 6 000 ₽ кошелёк = Pro)</t>
        </is>
      </c>
      <c r="B4" s="8" t="inlineStr">
        <is>
          <t>4 000 ток.</t>
        </is>
      </c>
      <c r="C4" s="8" t="inlineStr">
        <is>
          <t>8 000 ток.</t>
        </is>
      </c>
      <c r="D4" s="8" t="inlineStr">
        <is>
          <t>16 000 ток.</t>
        </is>
      </c>
      <c r="E4" s="8" t="inlineStr">
        <is>
          <t>30 000 ток.</t>
        </is>
      </c>
    </row>
    <row r="5">
      <c r="A5" s="9" t="inlineStr">
        <is>
          <t>DeepSeek V3.2</t>
        </is>
      </c>
      <c r="B5" s="18">
        <f>ROUNDDOWN(6000*1000000/('2. Модели LLM'!F5*4000),0)</f>
        <v/>
      </c>
      <c r="C5" s="18">
        <f>ROUNDDOWN(6000*1000000/('2. Модели LLM'!F5*8000),0)</f>
        <v/>
      </c>
      <c r="D5" s="18">
        <f>ROUNDDOWN(6000*1000000/('2. Модели LLM'!F5*16000),0)</f>
        <v/>
      </c>
      <c r="E5" s="18">
        <f>ROUNDDOWN(6000*1000000/('2. Модели LLM'!F5*30000),0)</f>
        <v/>
      </c>
    </row>
    <row r="6">
      <c r="A6" s="9" t="inlineStr">
        <is>
          <t>Qwen 3 235B (self-hosted)</t>
        </is>
      </c>
      <c r="B6" s="18">
        <f>ROUNDDOWN(6000*1000000/('2. Модели LLM'!F6*4000),0)</f>
        <v/>
      </c>
      <c r="C6" s="18">
        <f>ROUNDDOWN(6000*1000000/('2. Модели LLM'!F6*8000),0)</f>
        <v/>
      </c>
      <c r="D6" s="18">
        <f>ROUNDDOWN(6000*1000000/('2. Модели LLM'!F6*16000),0)</f>
        <v/>
      </c>
      <c r="E6" s="18">
        <f>ROUNDDOWN(6000*1000000/('2. Модели LLM'!F6*30000),0)</f>
        <v/>
      </c>
    </row>
    <row r="7">
      <c r="A7" s="9" t="inlineStr">
        <is>
          <t>Gemini 2.5 Flash</t>
        </is>
      </c>
      <c r="B7" s="18">
        <f>ROUNDDOWN(6000*1000000/('2. Модели LLM'!F7*4000),0)</f>
        <v/>
      </c>
      <c r="C7" s="18">
        <f>ROUNDDOWN(6000*1000000/('2. Модели LLM'!F7*8000),0)</f>
        <v/>
      </c>
      <c r="D7" s="18">
        <f>ROUNDDOWN(6000*1000000/('2. Модели LLM'!F7*16000),0)</f>
        <v/>
      </c>
      <c r="E7" s="18">
        <f>ROUNDDOWN(6000*1000000/('2. Модели LLM'!F7*30000),0)</f>
        <v/>
      </c>
    </row>
    <row r="8">
      <c r="A8" s="9" t="inlineStr">
        <is>
          <t>Claude Haiku 4.5</t>
        </is>
      </c>
      <c r="B8" s="18">
        <f>ROUNDDOWN(6000*1000000/('2. Модели LLM'!F8*4000),0)</f>
        <v/>
      </c>
      <c r="C8" s="18">
        <f>ROUNDDOWN(6000*1000000/('2. Модели LLM'!F8*8000),0)</f>
        <v/>
      </c>
      <c r="D8" s="18">
        <f>ROUNDDOWN(6000*1000000/('2. Модели LLM'!F8*16000),0)</f>
        <v/>
      </c>
      <c r="E8" s="18">
        <f>ROUNDDOWN(6000*1000000/('2. Модели LLM'!F8*30000),0)</f>
        <v/>
      </c>
    </row>
    <row r="9">
      <c r="A9" s="9" t="inlineStr">
        <is>
          <t>GigaChat 2 Pro</t>
        </is>
      </c>
      <c r="B9" s="18">
        <f>ROUNDDOWN(6000*1000000/('2. Модели LLM'!F9*4000),0)</f>
        <v/>
      </c>
      <c r="C9" s="18">
        <f>ROUNDDOWN(6000*1000000/('2. Модели LLM'!F9*8000),0)</f>
        <v/>
      </c>
      <c r="D9" s="18">
        <f>ROUNDDOWN(6000*1000000/('2. Модели LLM'!F9*16000),0)</f>
        <v/>
      </c>
      <c r="E9" s="18">
        <f>ROUNDDOWN(6000*1000000/('2. Модели LLM'!F9*30000),0)</f>
        <v/>
      </c>
    </row>
    <row r="10">
      <c r="A10" s="9" t="inlineStr">
        <is>
          <t>GPT-4.1</t>
        </is>
      </c>
      <c r="B10" s="18">
        <f>ROUNDDOWN(6000*1000000/('2. Модели LLM'!F10*4000),0)</f>
        <v/>
      </c>
      <c r="C10" s="18">
        <f>ROUNDDOWN(6000*1000000/('2. Модели LLM'!F10*8000),0)</f>
        <v/>
      </c>
      <c r="D10" s="18">
        <f>ROUNDDOWN(6000*1000000/('2. Модели LLM'!F10*16000),0)</f>
        <v/>
      </c>
      <c r="E10" s="18">
        <f>ROUNDDOWN(6000*1000000/('2. Модели LLM'!F10*30000),0)</f>
        <v/>
      </c>
    </row>
    <row r="11">
      <c r="A11" s="9" t="inlineStr">
        <is>
          <t>Claude Sonnet 4.6</t>
        </is>
      </c>
      <c r="B11" s="18">
        <f>ROUNDDOWN(6000*1000000/('2. Модели LLM'!F11*4000),0)</f>
        <v/>
      </c>
      <c r="C11" s="18">
        <f>ROUNDDOWN(6000*1000000/('2. Модели LLM'!F11*8000),0)</f>
        <v/>
      </c>
      <c r="D11" s="18">
        <f>ROUNDDOWN(6000*1000000/('2. Модели LLM'!F11*16000),0)</f>
        <v/>
      </c>
      <c r="E11" s="18">
        <f>ROUNDDOWN(6000*1000000/('2. Модели LLM'!F11*30000),0)</f>
        <v/>
      </c>
    </row>
    <row r="12">
      <c r="A12" s="9" t="inlineStr">
        <is>
          <t>YandexGPT 5 Pro</t>
        </is>
      </c>
      <c r="B12" s="18">
        <f>ROUNDDOWN(6000*1000000/('2. Модели LLM'!F12*4000),0)</f>
        <v/>
      </c>
      <c r="C12" s="18">
        <f>ROUNDDOWN(6000*1000000/('2. Модели LLM'!F12*8000),0)</f>
        <v/>
      </c>
      <c r="D12" s="18">
        <f>ROUNDDOWN(6000*1000000/('2. Модели LLM'!F12*16000),0)</f>
        <v/>
      </c>
      <c r="E12" s="18">
        <f>ROUNDDOWN(6000*1000000/('2. Модели LLM'!F12*30000),0)</f>
        <v/>
      </c>
    </row>
    <row r="14">
      <c r="A14" s="2" t="inlineStr">
        <is>
          <t>Размер сообщения зависит от сложности задачи.</t>
        </is>
      </c>
    </row>
    <row r="15">
      <c r="A15" s="2" t="inlineStr">
        <is>
          <t>• 4K — «измени цвет», «передвинь блок» (мелкие правки)</t>
        </is>
      </c>
    </row>
    <row r="16">
      <c r="A16" s="2" t="inlineStr">
        <is>
          <t>• 8K — стандарт: добавить секцию, изменить логику формы</t>
        </is>
      </c>
    </row>
    <row r="17">
      <c r="A17" s="2" t="inlineStr">
        <is>
          <t>• 16K — фича целиком: новая страница с интеграцией</t>
        </is>
      </c>
    </row>
    <row r="18">
      <c r="A18" s="2" t="inlineStr">
        <is>
          <t>• 30K — полная переделка: миграция БД + рефактор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Дополнительные пакеты токенов поверх подписки</t>
        </is>
      </c>
    </row>
    <row r="2" ht="32" customHeight="1">
      <c r="A2" s="2" t="inlineStr">
        <is>
          <t>Скидка на крупные пакеты — стимул retention и upsell.</t>
        </is>
      </c>
    </row>
    <row r="4" ht="36" customHeight="1">
      <c r="A4" s="8" t="inlineStr">
        <is>
          <t>Пакет (номинал)</t>
        </is>
      </c>
      <c r="B4" s="8" t="inlineStr">
        <is>
          <t>Цена клиенту</t>
        </is>
      </c>
      <c r="C4" s="8" t="inlineStr">
        <is>
          <t>Скидка</t>
        </is>
      </c>
      <c r="D4" s="8" t="inlineStr">
        <is>
          <t>DeepSeek msg</t>
        </is>
      </c>
      <c r="E4" s="8" t="inlineStr">
        <is>
          <t>Haiku msg</t>
        </is>
      </c>
      <c r="F4" s="8" t="inlineStr">
        <is>
          <t>Sonnet msg</t>
        </is>
      </c>
      <c r="G4" s="8" t="inlineStr">
        <is>
          <t>YandexGPT msg</t>
        </is>
      </c>
    </row>
    <row r="5">
      <c r="A5" s="9" t="inlineStr">
        <is>
          <t>500 ₽</t>
        </is>
      </c>
      <c r="B5" s="17" t="n">
        <v>500</v>
      </c>
      <c r="C5" s="28" t="n">
        <v>0</v>
      </c>
      <c r="D5" s="18">
        <f>ROUNDDOWN(500/'3. Цена сообщения'!C5,0)</f>
        <v/>
      </c>
      <c r="E5" s="18">
        <f>ROUNDDOWN(500/'3. Цена сообщения'!C8,0)</f>
        <v/>
      </c>
      <c r="F5" s="18">
        <f>ROUNDDOWN(500/'3. Цена сообщения'!C11,0)</f>
        <v/>
      </c>
      <c r="G5" s="18">
        <f>ROUNDDOWN(500/'3. Цена сообщения'!C12,0)</f>
        <v/>
      </c>
    </row>
    <row r="6">
      <c r="A6" s="9" t="inlineStr">
        <is>
          <t>2 000 ₽</t>
        </is>
      </c>
      <c r="B6" s="17" t="n">
        <v>1800</v>
      </c>
      <c r="C6" s="28" t="n">
        <v>0.1</v>
      </c>
      <c r="D6" s="18">
        <f>ROUNDDOWN(2000/'3. Цена сообщения'!C5,0)</f>
        <v/>
      </c>
      <c r="E6" s="18">
        <f>ROUNDDOWN(2000/'3. Цена сообщения'!C8,0)</f>
        <v/>
      </c>
      <c r="F6" s="18">
        <f>ROUNDDOWN(2000/'3. Цена сообщения'!C11,0)</f>
        <v/>
      </c>
      <c r="G6" s="18">
        <f>ROUNDDOWN(2000/'3. Цена сообщения'!C12,0)</f>
        <v/>
      </c>
    </row>
    <row r="7">
      <c r="A7" s="9" t="inlineStr">
        <is>
          <t>5 000 ₽</t>
        </is>
      </c>
      <c r="B7" s="17" t="n">
        <v>4250</v>
      </c>
      <c r="C7" s="28" t="n">
        <v>0.15</v>
      </c>
      <c r="D7" s="18">
        <f>ROUNDDOWN(5000/'3. Цена сообщения'!C5,0)</f>
        <v/>
      </c>
      <c r="E7" s="18">
        <f>ROUNDDOWN(5000/'3. Цена сообщения'!C8,0)</f>
        <v/>
      </c>
      <c r="F7" s="18">
        <f>ROUNDDOWN(5000/'3. Цена сообщения'!C11,0)</f>
        <v/>
      </c>
      <c r="G7" s="18">
        <f>ROUNDDOWN(5000/'3. Цена сообщения'!C12,0)</f>
        <v/>
      </c>
    </row>
    <row r="8">
      <c r="A8" s="9" t="inlineStr">
        <is>
          <t>10 000 ₽</t>
        </is>
      </c>
      <c r="B8" s="17" t="n">
        <v>8000</v>
      </c>
      <c r="C8" s="28" t="n">
        <v>0.2</v>
      </c>
      <c r="D8" s="18">
        <f>ROUNDDOWN(10000/'3. Цена сообщения'!C5,0)</f>
        <v/>
      </c>
      <c r="E8" s="18">
        <f>ROUNDDOWN(10000/'3. Цена сообщения'!C8,0)</f>
        <v/>
      </c>
      <c r="F8" s="18">
        <f>ROUNDDOWN(10000/'3. Цена сообщения'!C11,0)</f>
        <v/>
      </c>
      <c r="G8" s="18">
        <f>ROUNDDOWN(10000/'3. Цена сообщения'!C12,0)</f>
        <v/>
      </c>
    </row>
    <row r="9">
      <c r="A9" s="9" t="inlineStr">
        <is>
          <t>25 000 ₽</t>
        </is>
      </c>
      <c r="B9" s="17" t="n">
        <v>18750</v>
      </c>
      <c r="C9" s="28" t="n">
        <v>0.25</v>
      </c>
      <c r="D9" s="18">
        <f>ROUNDDOWN(25000/'3. Цена сообщения'!C5,0)</f>
        <v/>
      </c>
      <c r="E9" s="18">
        <f>ROUNDDOWN(25000/'3. Цена сообщения'!C8,0)</f>
        <v/>
      </c>
      <c r="F9" s="18">
        <f>ROUNDDOWN(25000/'3. Цена сообщения'!C11,0)</f>
        <v/>
      </c>
      <c r="G9" s="18">
        <f>ROUNDDOWN(25000/'3. Цена сообщения'!C12,0)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4" customWidth="1" min="4" max="4"/>
    <col width="36" customWidth="1" min="5" max="5"/>
  </cols>
  <sheetData>
    <row r="1">
      <c r="A1" s="1" t="inlineStr">
        <is>
          <t>Типичная нагрузка на 1 проект — сколько сообщений в месяц</t>
        </is>
      </c>
    </row>
    <row r="2" ht="32" customHeight="1">
      <c r="A2" s="2" t="inlineStr">
        <is>
          <t>Зависит от типа проекта и стадии жизненного цикла. Цифры — оценка по бенчмаркам Lovable/Cursor/v0.</t>
        </is>
      </c>
    </row>
    <row r="4" ht="36" customHeight="1">
      <c r="A4" s="8" t="inlineStr">
        <is>
          <t>Тип проекта</t>
        </is>
      </c>
      <c r="B4" s="8" t="inlineStr">
        <is>
          <t>Стадия</t>
        </is>
      </c>
      <c r="C4" s="8" t="inlineStr">
        <is>
          <t>Сообщений/мес (диапазон)</t>
        </is>
      </c>
      <c r="D4" s="8" t="inlineStr">
        <is>
          <t>Среднее</t>
        </is>
      </c>
      <c r="E4" s="8" t="inlineStr">
        <is>
          <t>На каком тарифе сидит юзер</t>
        </is>
      </c>
    </row>
    <row r="5">
      <c r="A5" s="9" t="inlineStr">
        <is>
          <t>Лендинг (1 страница)</t>
        </is>
      </c>
      <c r="B5" s="9" t="inlineStr">
        <is>
          <t>Сборка с нуля</t>
        </is>
      </c>
      <c r="C5" s="29" t="inlineStr">
        <is>
          <t>30–60</t>
        </is>
      </c>
      <c r="D5" s="30" t="n">
        <v>45</v>
      </c>
      <c r="E5" s="31" t="inlineStr">
        <is>
          <t>Lite (266 msg на бал.) ✓</t>
        </is>
      </c>
    </row>
    <row r="6">
      <c r="A6" s="9" t="inlineStr">
        <is>
          <t>Лендинг</t>
        </is>
      </c>
      <c r="B6" s="9" t="inlineStr">
        <is>
          <t>Активные правки (1-2 нед)</t>
        </is>
      </c>
      <c r="C6" s="29" t="inlineStr">
        <is>
          <t>20–40</t>
        </is>
      </c>
      <c r="D6" s="30" t="n">
        <v>30</v>
      </c>
      <c r="E6" s="31" t="inlineStr">
        <is>
          <t>Lite ✓</t>
        </is>
      </c>
    </row>
    <row r="7">
      <c r="A7" s="9" t="inlineStr">
        <is>
          <t>Лендинг</t>
        </is>
      </c>
      <c r="B7" s="9" t="inlineStr">
        <is>
          <t>Поддержка / месяц</t>
        </is>
      </c>
      <c r="C7" s="29" t="inlineStr">
        <is>
          <t>5–15</t>
        </is>
      </c>
      <c r="D7" s="30" t="n">
        <v>10</v>
      </c>
      <c r="E7" s="31" t="inlineStr">
        <is>
          <t>Lite ✓</t>
        </is>
      </c>
    </row>
    <row r="8">
      <c r="A8" s="9" t="inlineStr">
        <is>
          <t>Магазин e-commerce</t>
        </is>
      </c>
      <c r="B8" s="9" t="inlineStr">
        <is>
          <t>Сборка с нуля</t>
        </is>
      </c>
      <c r="C8" s="29" t="inlineStr">
        <is>
          <t>80–150</t>
        </is>
      </c>
      <c r="D8" s="30" t="n">
        <v>120</v>
      </c>
      <c r="E8" s="31" t="inlineStr">
        <is>
          <t>Starter (502) ✓</t>
        </is>
      </c>
    </row>
    <row r="9">
      <c r="A9" s="9" t="inlineStr">
        <is>
          <t>Магазин</t>
        </is>
      </c>
      <c r="B9" s="9" t="inlineStr">
        <is>
          <t>Добавление товаров / правки</t>
        </is>
      </c>
      <c r="C9" s="29" t="inlineStr">
        <is>
          <t>30–60</t>
        </is>
      </c>
      <c r="D9" s="30" t="n">
        <v>45</v>
      </c>
      <c r="E9" s="31" t="inlineStr">
        <is>
          <t>Lite ✓</t>
        </is>
      </c>
    </row>
    <row r="10">
      <c r="A10" s="9" t="inlineStr">
        <is>
          <t>Магазин</t>
        </is>
      </c>
      <c r="B10" s="9" t="inlineStr">
        <is>
          <t>Сезон / маркетинг (распродажа)</t>
        </is>
      </c>
      <c r="C10" s="29" t="inlineStr">
        <is>
          <t>60–120</t>
        </is>
      </c>
      <c r="D10" s="30" t="n">
        <v>90</v>
      </c>
      <c r="E10" s="31" t="inlineStr">
        <is>
          <t>Starter ✓</t>
        </is>
      </c>
    </row>
    <row r="11">
      <c r="A11" s="9" t="inlineStr">
        <is>
          <t>Корп-сайт SMB</t>
        </is>
      </c>
      <c r="B11" s="9" t="inlineStr">
        <is>
          <t>Сборка с нуля</t>
        </is>
      </c>
      <c r="C11" s="29" t="inlineStr">
        <is>
          <t>60–120</t>
        </is>
      </c>
      <c r="D11" s="30" t="n">
        <v>90</v>
      </c>
      <c r="E11" s="31" t="inlineStr">
        <is>
          <t>Starter ✓</t>
        </is>
      </c>
    </row>
    <row r="12">
      <c r="A12" s="9" t="inlineStr">
        <is>
          <t>Корп-сайт</t>
        </is>
      </c>
      <c r="B12" s="9" t="inlineStr">
        <is>
          <t>Поддержка</t>
        </is>
      </c>
      <c r="C12" s="29" t="inlineStr">
        <is>
          <t>15–30</t>
        </is>
      </c>
      <c r="D12" s="30" t="n">
        <v>22</v>
      </c>
      <c r="E12" s="31" t="inlineStr">
        <is>
          <t>Lite ✓</t>
        </is>
      </c>
    </row>
    <row r="13">
      <c r="A13" s="9" t="inlineStr">
        <is>
          <t>Портфолио / визитка</t>
        </is>
      </c>
      <c r="B13" s="9" t="inlineStr">
        <is>
          <t>Сборка с нуля</t>
        </is>
      </c>
      <c r="C13" s="29" t="inlineStr">
        <is>
          <t>20–50</t>
        </is>
      </c>
      <c r="D13" s="30" t="n">
        <v>35</v>
      </c>
      <c r="E13" s="31" t="inlineStr">
        <is>
          <t>Lite ✓</t>
        </is>
      </c>
    </row>
    <row r="14">
      <c r="A14" s="9" t="inlineStr">
        <is>
          <t>Портфолио</t>
        </is>
      </c>
      <c r="B14" s="9" t="inlineStr">
        <is>
          <t>Обновление работ</t>
        </is>
      </c>
      <c r="C14" s="29" t="inlineStr">
        <is>
          <t>5–15</t>
        </is>
      </c>
      <c r="D14" s="30" t="n">
        <v>10</v>
      </c>
      <c r="E14" s="31" t="inlineStr">
        <is>
          <t>Lite ✓</t>
        </is>
      </c>
    </row>
    <row r="15">
      <c r="A15" s="9" t="inlineStr">
        <is>
          <t>SaaS-MVP с backend</t>
        </is>
      </c>
      <c r="B15" s="9" t="inlineStr">
        <is>
          <t>Сборка с нуля</t>
        </is>
      </c>
      <c r="C15" s="29" t="inlineStr">
        <is>
          <t>200–400</t>
        </is>
      </c>
      <c r="D15" s="30" t="n">
        <v>300</v>
      </c>
      <c r="E15" s="31" t="inlineStr">
        <is>
          <t>Pro (1 205) ✓</t>
        </is>
      </c>
    </row>
    <row r="16">
      <c r="A16" s="9" t="inlineStr">
        <is>
          <t>SaaS-MVP</t>
        </is>
      </c>
      <c r="B16" s="9" t="inlineStr">
        <is>
          <t>Активный рост / новые фичи</t>
        </is>
      </c>
      <c r="C16" s="29" t="inlineStr">
        <is>
          <t>100–250</t>
        </is>
      </c>
      <c r="D16" s="30" t="n">
        <v>175</v>
      </c>
      <c r="E16" s="31" t="inlineStr">
        <is>
          <t>Pro ✓</t>
        </is>
      </c>
    </row>
    <row r="17">
      <c r="A17" s="9" t="inlineStr">
        <is>
          <t>SaaS-MVP</t>
        </is>
      </c>
      <c r="B17" s="9" t="inlineStr">
        <is>
          <t>Поддержка после релиза</t>
        </is>
      </c>
      <c r="C17" s="29" t="inlineStr">
        <is>
          <t>30–80</t>
        </is>
      </c>
      <c r="D17" s="30" t="n">
        <v>55</v>
      </c>
      <c r="E17" s="31" t="inlineStr">
        <is>
          <t>Starter ✓</t>
        </is>
      </c>
    </row>
    <row r="18">
      <c r="A18" s="9" t="inlineStr">
        <is>
          <t>Чат-бот TG/VK</t>
        </is>
      </c>
      <c r="B18" s="9" t="inlineStr">
        <is>
          <t>Сборка с нуля</t>
        </is>
      </c>
      <c r="C18" s="29" t="inlineStr">
        <is>
          <t>50–100</t>
        </is>
      </c>
      <c r="D18" s="30" t="n">
        <v>75</v>
      </c>
      <c r="E18" s="31" t="inlineStr">
        <is>
          <t>Starter ✓</t>
        </is>
      </c>
    </row>
    <row r="19">
      <c r="A19" s="9" t="inlineStr">
        <is>
          <t>Чат-бот</t>
        </is>
      </c>
      <c r="B19" s="9" t="inlineStr">
        <is>
          <t>Расширение сценариев</t>
        </is>
      </c>
      <c r="C19" s="29" t="inlineStr">
        <is>
          <t>20–50</t>
        </is>
      </c>
      <c r="D19" s="30" t="n">
        <v>35</v>
      </c>
      <c r="E19" s="31" t="inlineStr">
        <is>
          <t>Lite ✓</t>
        </is>
      </c>
    </row>
    <row r="20">
      <c r="A20" s="9" t="inlineStr">
        <is>
          <t>Бизнес-автоматизация</t>
        </is>
      </c>
      <c r="B20" s="9" t="inlineStr">
        <is>
          <t>Сборка пайплайна</t>
        </is>
      </c>
      <c r="C20" s="29" t="inlineStr">
        <is>
          <t>150–300</t>
        </is>
      </c>
      <c r="D20" s="30" t="n">
        <v>225</v>
      </c>
      <c r="E20" s="31" t="inlineStr">
        <is>
          <t>Pro ✓</t>
        </is>
      </c>
    </row>
    <row r="21">
      <c r="A21" s="9" t="inlineStr">
        <is>
          <t>Бизнес-автоматизация</t>
        </is>
      </c>
      <c r="B21" s="9" t="inlineStr">
        <is>
          <t>Поддержка интеграций</t>
        </is>
      </c>
      <c r="C21" s="29" t="inlineStr">
        <is>
          <t>40–80</t>
        </is>
      </c>
      <c r="D21" s="30" t="n">
        <v>60</v>
      </c>
      <c r="E21" s="31" t="inlineStr">
        <is>
          <t>Starter ✓</t>
        </is>
      </c>
    </row>
    <row r="22">
      <c r="A22" s="9" t="inlineStr">
        <is>
          <t>Агентство · 5 клиентов параллельно</t>
        </is>
      </c>
      <c r="B22" s="9" t="inlineStr">
        <is>
          <t>Активная разработка</t>
        </is>
      </c>
      <c r="C22" s="29" t="inlineStr">
        <is>
          <t>500–1000</t>
        </is>
      </c>
      <c r="D22" s="30" t="n">
        <v>750</v>
      </c>
      <c r="E22" s="31" t="inlineStr">
        <is>
          <t>Enterprise (3 614) ✓</t>
        </is>
      </c>
    </row>
    <row r="25" ht="22" customHeight="1">
      <c r="A25" s="3" t="inlineStr">
        <is>
          <t>ВЫВОДЫ</t>
        </is>
      </c>
    </row>
    <row r="26">
      <c r="A26" s="6" t="inlineStr">
        <is>
          <t>• 80% SMB-проектов укладываются в Lite (1 000 ₽ кошелёк = 200 msg на бал. mix).</t>
        </is>
      </c>
    </row>
    <row r="27">
      <c r="A27" s="6" t="inlineStr">
        <is>
          <t>• Сборка магазина / SaaS требует Starter или Pro в первый месяц, потом downgrade.</t>
        </is>
      </c>
    </row>
    <row r="28">
      <c r="A28" s="6" t="inlineStr">
        <is>
          <t>• Pro оправдан только при 200+ msg/мес — это активная разработка SaaS-MVP, чат-боты, или 2-3 проекта одновременно.</t>
        </is>
      </c>
    </row>
    <row r="29">
      <c r="A29" s="6" t="inlineStr">
        <is>
          <t>• Enterprise — для агентств с 5+ клиентами одновременно или больших проектов 1 000+ msg.</t>
        </is>
      </c>
    </row>
    <row r="30">
      <c r="A30" s="6" t="inlineStr">
        <is>
          <t>• Реальный паттерн: первый месяц активной сборки — выше тариф, потом downgrade на поддержку. Учитываем в churn-ставке.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6" customWidth="1" min="3" max="3"/>
    <col width="18" customWidth="1" min="4" max="4"/>
    <col width="18" customWidth="1" min="5" max="5"/>
    <col width="26" customWidth="1" min="6" max="6"/>
    <col width="24" customWidth="1" min="7" max="7"/>
  </cols>
  <sheetData>
    <row r="1">
      <c r="A1" s="1" t="inlineStr">
        <is>
          <t>Что даёт кеширование промптов (когда 70% input — cache hit)</t>
        </is>
      </c>
    </row>
    <row r="2" ht="32" customHeight="1">
      <c r="A2" s="2" t="inlineStr">
        <is>
          <t>Anthropic / OpenAI / Google: cached input reads = 10% от raw input. На повторных запросах в сессии это +10-20% margin.</t>
        </is>
      </c>
    </row>
    <row r="4">
      <c r="A4" s="3" t="inlineStr">
        <is>
          <t>Параметр</t>
        </is>
      </c>
      <c r="B4" s="3" t="inlineStr">
        <is>
          <t>Значение</t>
        </is>
      </c>
    </row>
    <row r="5">
      <c r="A5" s="4" t="inlineStr">
        <is>
          <t>Cache hit rate</t>
        </is>
      </c>
      <c r="B5" s="32" t="n">
        <v>0.7</v>
      </c>
      <c r="C5" s="6" t="inlineStr">
        <is>
          <t>Доля input-токенов из cache (типично для повторных запросов в сессии)</t>
        </is>
      </c>
    </row>
    <row r="6">
      <c r="A6" s="4" t="inlineStr">
        <is>
          <t>Cache read price (доля от raw input)</t>
        </is>
      </c>
      <c r="B6" s="32" t="n">
        <v>0.1</v>
      </c>
      <c r="C6" s="6" t="inlineStr">
        <is>
          <t>Anthropic/OpenAI стандарт: −90% на cached reads</t>
        </is>
      </c>
    </row>
    <row r="8">
      <c r="A8" s="33" t="inlineStr">
        <is>
          <t>Эффективный множитель input</t>
        </is>
      </c>
      <c r="B8" s="34">
        <f>1-B5*(1-B6)</f>
        <v/>
      </c>
      <c r="C8" s="2" t="inlineStr">
        <is>
          <t>0.37 при 70% hit / 10% read price → −63% на input</t>
        </is>
      </c>
    </row>
    <row r="11" ht="36" customHeight="1">
      <c r="A11" s="8" t="inlineStr">
        <is>
          <t>Модель</t>
        </is>
      </c>
      <c r="B11" s="8" t="inlineStr">
        <is>
          <t>Без кеша · себест/сообщ</t>
        </is>
      </c>
      <c r="C11" s="8" t="inlineStr">
        <is>
          <t>С кешем · себест/сообщ</t>
        </is>
      </c>
      <c r="D11" s="8" t="inlineStr">
        <is>
          <t>Экономия %</t>
        </is>
      </c>
      <c r="E11" s="8" t="inlineStr">
        <is>
          <t>Без · цена клиенту/сообщ</t>
        </is>
      </c>
      <c r="F11" s="8" t="inlineStr">
        <is>
          <t>С · цена клиенту/сообщ</t>
        </is>
      </c>
      <c r="G11" s="8" t="inlineStr">
        <is>
          <t>Экономия для нас ₽/msg</t>
        </is>
      </c>
    </row>
    <row r="12">
      <c r="A12" s="9" t="inlineStr">
        <is>
          <t>DeepSeek V3.2</t>
        </is>
      </c>
      <c r="B12" s="12">
        <f>'3. Цена сообщения'!B5</f>
        <v/>
      </c>
      <c r="C12" s="35">
        <f>(0.28*(1-'1. Параметры'!$B$7)*$B$8+0.42*'1. Параметры'!$B$7)*'1. Параметры'!$B$5*'1. Параметры'!$B$8/1000000</f>
        <v/>
      </c>
      <c r="D12" s="13">
        <f>(B12-C12)/B12</f>
        <v/>
      </c>
      <c r="E12" s="12">
        <f>'3. Цена сообщения'!C5</f>
        <v/>
      </c>
      <c r="F12" s="12">
        <f>C12*'1. Параметры'!$B$6</f>
        <v/>
      </c>
      <c r="G12" s="36">
        <f>B12-C12</f>
        <v/>
      </c>
    </row>
    <row r="13">
      <c r="A13" s="9" t="inlineStr">
        <is>
          <t>Qwen 3 235B (self-hosted)</t>
        </is>
      </c>
      <c r="B13" s="12">
        <f>'3. Цена сообщения'!B6</f>
        <v/>
      </c>
      <c r="C13" s="35">
        <f>(0.5*(1-'1. Параметры'!$B$7)*$B$8+0.5*'1. Параметры'!$B$7)*'1. Параметры'!$B$5*'1. Параметры'!$B$8/1000000</f>
        <v/>
      </c>
      <c r="D13" s="13">
        <f>(B13-C13)/B13</f>
        <v/>
      </c>
      <c r="E13" s="12">
        <f>'3. Цена сообщения'!C6</f>
        <v/>
      </c>
      <c r="F13" s="12">
        <f>C13*'1. Параметры'!$B$6</f>
        <v/>
      </c>
      <c r="G13" s="36">
        <f>B13-C13</f>
        <v/>
      </c>
    </row>
    <row r="14">
      <c r="A14" s="9" t="inlineStr">
        <is>
          <t>Gemini 2.5 Flash</t>
        </is>
      </c>
      <c r="B14" s="12">
        <f>'3. Цена сообщения'!B7</f>
        <v/>
      </c>
      <c r="C14" s="35">
        <f>(0.3*(1-'1. Параметры'!$B$7)*$B$8+2.5*'1. Параметры'!$B$7)*'1. Параметры'!$B$5*'1. Параметры'!$B$8/1000000</f>
        <v/>
      </c>
      <c r="D14" s="13">
        <f>(B14-C14)/B14</f>
        <v/>
      </c>
      <c r="E14" s="12">
        <f>'3. Цена сообщения'!C7</f>
        <v/>
      </c>
      <c r="F14" s="12">
        <f>C14*'1. Параметры'!$B$6</f>
        <v/>
      </c>
      <c r="G14" s="36">
        <f>B14-C14</f>
        <v/>
      </c>
    </row>
    <row r="15">
      <c r="A15" s="9" t="inlineStr">
        <is>
          <t>Claude Haiku 4.5</t>
        </is>
      </c>
      <c r="B15" s="12">
        <f>'3. Цена сообщения'!B8</f>
        <v/>
      </c>
      <c r="C15" s="35">
        <f>(1.0*(1-'1. Параметры'!$B$7)*$B$8+5.0*'1. Параметры'!$B$7)*'1. Параметры'!$B$5*'1. Параметры'!$B$8/1000000</f>
        <v/>
      </c>
      <c r="D15" s="13">
        <f>(B15-C15)/B15</f>
        <v/>
      </c>
      <c r="E15" s="12">
        <f>'3. Цена сообщения'!C8</f>
        <v/>
      </c>
      <c r="F15" s="12">
        <f>C15*'1. Параметры'!$B$6</f>
        <v/>
      </c>
      <c r="G15" s="36">
        <f>B15-C15</f>
        <v/>
      </c>
    </row>
    <row r="16">
      <c r="A16" s="9" t="inlineStr">
        <is>
          <t>GigaChat 2 Pro</t>
        </is>
      </c>
      <c r="B16" s="12">
        <f>'3. Цена сообщения'!B9</f>
        <v/>
      </c>
      <c r="C16" s="35">
        <f>(5.0*(1-'1. Параметры'!$B$7)*$B$8+5.0*'1. Параметры'!$B$7)*'1. Параметры'!$B$5*'1. Параметры'!$B$8/1000000</f>
        <v/>
      </c>
      <c r="D16" s="13">
        <f>(B16-C16)/B16</f>
        <v/>
      </c>
      <c r="E16" s="12">
        <f>'3. Цена сообщения'!C9</f>
        <v/>
      </c>
      <c r="F16" s="12">
        <f>C16*'1. Параметры'!$B$6</f>
        <v/>
      </c>
      <c r="G16" s="36">
        <f>B16-C16</f>
        <v/>
      </c>
    </row>
    <row r="17">
      <c r="A17" s="9" t="inlineStr">
        <is>
          <t>GPT-4.1</t>
        </is>
      </c>
      <c r="B17" s="12">
        <f>'3. Цена сообщения'!B10</f>
        <v/>
      </c>
      <c r="C17" s="35">
        <f>(2.0*(1-'1. Параметры'!$B$7)*$B$8+8.0*'1. Параметры'!$B$7)*'1. Параметры'!$B$5*'1. Параметры'!$B$8/1000000</f>
        <v/>
      </c>
      <c r="D17" s="13">
        <f>(B17-C17)/B17</f>
        <v/>
      </c>
      <c r="E17" s="12">
        <f>'3. Цена сообщения'!C10</f>
        <v/>
      </c>
      <c r="F17" s="12">
        <f>C17*'1. Параметры'!$B$6</f>
        <v/>
      </c>
      <c r="G17" s="36">
        <f>B17-C17</f>
        <v/>
      </c>
    </row>
    <row r="18">
      <c r="A18" s="9" t="inlineStr">
        <is>
          <t>Claude Sonnet 4.6</t>
        </is>
      </c>
      <c r="B18" s="12">
        <f>'3. Цена сообщения'!B11</f>
        <v/>
      </c>
      <c r="C18" s="35">
        <f>(3.0*(1-'1. Параметры'!$B$7)*$B$8+15.0*'1. Параметры'!$B$7)*'1. Параметры'!$B$5*'1. Параметры'!$B$8/1000000</f>
        <v/>
      </c>
      <c r="D18" s="13">
        <f>(B18-C18)/B18</f>
        <v/>
      </c>
      <c r="E18" s="12">
        <f>'3. Цена сообщения'!C11</f>
        <v/>
      </c>
      <c r="F18" s="12">
        <f>C18*'1. Параметры'!$B$6</f>
        <v/>
      </c>
      <c r="G18" s="36">
        <f>B18-C18</f>
        <v/>
      </c>
    </row>
    <row r="19">
      <c r="A19" s="9" t="inlineStr">
        <is>
          <t>YandexGPT 5 Pro</t>
        </is>
      </c>
      <c r="B19" s="12">
        <f>'3. Цена сообщения'!B12</f>
        <v/>
      </c>
      <c r="C19" s="35">
        <f>(8.0*(1-'1. Параметры'!$B$7)*$B$8+16.0*'1. Параметры'!$B$7)*'1. Параметры'!$B$5*'1. Параметры'!$B$8/1000000</f>
        <v/>
      </c>
      <c r="D19" s="13">
        <f>(B19-C19)/B19</f>
        <v/>
      </c>
      <c r="E19" s="12">
        <f>'3. Цена сообщения'!C12</f>
        <v/>
      </c>
      <c r="F19" s="12">
        <f>C19*'1. Параметры'!$B$6</f>
        <v/>
      </c>
      <c r="G19" s="36">
        <f>B19-C19</f>
        <v/>
      </c>
    </row>
    <row r="21">
      <c r="A21" s="3" t="inlineStr">
        <is>
          <t>Влияние на маржу тарифа Pro (балансный mix, 200 msg/мес)</t>
        </is>
      </c>
    </row>
    <row r="23">
      <c r="A23" s="19" t="inlineStr">
        <is>
          <t>Сценарий</t>
        </is>
      </c>
      <c r="B23" s="19" t="inlineStr">
        <is>
          <t>Сообщений</t>
        </is>
      </c>
      <c r="C23" s="19" t="inlineStr">
        <is>
          <t>Без кеша COGS</t>
        </is>
      </c>
      <c r="D23" s="19" t="inlineStr">
        <is>
          <t>С кешем COGS</t>
        </is>
      </c>
      <c r="E23" s="19" t="inlineStr">
        <is>
          <t>Экономия ₽/мес</t>
        </is>
      </c>
      <c r="F23" s="19" t="inlineStr">
        <is>
          <t>Маржа Pro: было → стало</t>
        </is>
      </c>
    </row>
    <row r="24">
      <c r="A24" s="9" t="inlineStr">
        <is>
          <t>Lite пользователь, 200 msg бал.</t>
        </is>
      </c>
      <c r="B24" s="37" t="n">
        <v>200</v>
      </c>
      <c r="C24" s="11">
        <f>200*'6. Mix-сценарии'!C15</f>
        <v/>
      </c>
      <c r="D24" s="27">
        <f>200*(B12*'6. Mix-сценарии'!C5+B13*'6. Mix-сценарии'!C6+B14*'6. Mix-сценарии'!C7+B15*'6. Mix-сценарии'!C8+B16*'6. Mix-сценарии'!C9+B17*'6. Mix-сценарии'!C10+B18*'6. Mix-сценарии'!C11+B19*'6. Mix-сценарии'!C12)</f>
        <v/>
      </c>
      <c r="E24" s="38">
        <f>C24-D24</f>
        <v/>
      </c>
      <c r="F24" s="9">
        <f>ROUND(C24/7990*100,1)&amp;"% → "&amp;ROUND(D24/7990*100,1)&amp;"%"</f>
        <v/>
      </c>
    </row>
    <row r="25">
      <c r="A25" s="9" t="inlineStr">
        <is>
          <t>Pro средний, 600 msg бал.</t>
        </is>
      </c>
      <c r="B25" s="37" t="n">
        <v>600</v>
      </c>
      <c r="C25" s="11">
        <f>600*'6. Mix-сценарии'!C15</f>
        <v/>
      </c>
      <c r="D25" s="27">
        <f>600*(B12*'6. Mix-сценарии'!C5+B13*'6. Mix-сценарии'!C6+B14*'6. Mix-сценарии'!C7+B15*'6. Mix-сценарии'!C8+B16*'6. Mix-сценарии'!C9+B17*'6. Mix-сценарии'!C10+B18*'6. Mix-сценарии'!C11+B19*'6. Mix-сценарии'!C12)</f>
        <v/>
      </c>
      <c r="E25" s="38">
        <f>C25-D25</f>
        <v/>
      </c>
      <c r="F25" s="9">
        <f>ROUND(C25/7990*100,1)&amp;"% → "&amp;ROUND(D25/7990*100,1)&amp;"%"</f>
        <v/>
      </c>
    </row>
    <row r="26">
      <c r="A26" s="9" t="inlineStr">
        <is>
          <t>Pro power-user, 1200 msg бал.</t>
        </is>
      </c>
      <c r="B26" s="37" t="n">
        <v>1200</v>
      </c>
      <c r="C26" s="11">
        <f>1200*'6. Mix-сценарии'!C15</f>
        <v/>
      </c>
      <c r="D26" s="27">
        <f>1200*(B12*'6. Mix-сценарии'!C5+B13*'6. Mix-сценарии'!C6+B14*'6. Mix-сценарии'!C7+B15*'6. Mix-сценарии'!C8+B16*'6. Mix-сценарии'!C9+B17*'6. Mix-сценарии'!C10+B18*'6. Mix-сценарии'!C11+B19*'6. Mix-сценарии'!C12)</f>
        <v/>
      </c>
      <c r="E26" s="38">
        <f>C26-D26</f>
        <v/>
      </c>
      <c r="F26" s="9">
        <f>ROUND(C26/7990*100,1)&amp;"% → "&amp;ROUND(D26/7990*100,1)&amp;"%"</f>
        <v/>
      </c>
    </row>
    <row r="27">
      <c r="A27" s="9" t="inlineStr">
        <is>
          <t>Pro power-user премиум, 300 msg</t>
        </is>
      </c>
      <c r="B27" s="37" t="n">
        <v>300</v>
      </c>
      <c r="C27" s="11">
        <f>300*'6. Mix-сценарии'!D15</f>
        <v/>
      </c>
      <c r="D27" s="27">
        <f>300*(B12*'6. Mix-сценарии'!D5+B13*'6. Mix-сценарии'!D6+B14*'6. Mix-сценарии'!D7+B15*'6. Mix-сценарии'!D8+B16*'6. Mix-сценарии'!D9+B17*'6. Mix-сценарии'!D10+B18*'6. Mix-сценарии'!D11+B19*'6. Mix-сценарии'!D12)</f>
        <v/>
      </c>
      <c r="E27" s="38">
        <f>C27-D27</f>
        <v/>
      </c>
      <c r="F27" s="9">
        <f>ROUND(C27/7990*100,1)&amp;"% → "&amp;ROUND(D27/7990*100,1)&amp;"%"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8" customWidth="1" min="3" max="3"/>
    <col width="22" customWidth="1" min="4" max="4"/>
    <col width="22" customWidth="1" min="5" max="5"/>
    <col width="20" customWidth="1" min="6" max="6"/>
    <col width="22" customWidth="1" min="7" max="7"/>
  </cols>
  <sheetData>
    <row r="1">
      <c r="A1" s="1" t="inlineStr">
        <is>
          <t>Когда self-hosted Qwen 3 235B окупится</t>
        </is>
      </c>
    </row>
    <row r="2" ht="32" customHeight="1">
      <c r="A2" s="2" t="inlineStr">
        <is>
          <t>Capex 250к ₽ (1×A100 80GB или 2×RTX 4090) + Opex ~120к/мес. Break-even зависит от объёма traffic.</t>
        </is>
      </c>
    </row>
    <row r="4" ht="36" customHeight="1">
      <c r="A4" s="8" t="inlineStr">
        <is>
          <t>Параметр</t>
        </is>
      </c>
      <c r="B4" s="8" t="inlineStr">
        <is>
          <t>Значение</t>
        </is>
      </c>
      <c r="C4" s="8" t="inlineStr">
        <is>
          <t>Комментарий</t>
        </is>
      </c>
    </row>
    <row r="5">
      <c r="A5" s="39" t="inlineStr">
        <is>
          <t>Покупка железа</t>
        </is>
      </c>
      <c r="B5" s="40" t="n">
        <v>250000</v>
      </c>
      <c r="C5" s="6" t="inlineStr">
        <is>
          <t>1× A100 80GB ИЛИ 2× RTX 4090, 256 ГБ RAM</t>
        </is>
      </c>
    </row>
    <row r="6">
      <c r="A6" s="39" t="inlineStr">
        <is>
          <t>Текущие траты в месяц (электричество, охлаждение, износ за 5 лет)</t>
        </is>
      </c>
      <c r="B6" s="40" t="n">
        <v>120000</v>
      </c>
      <c r="C6" s="6" t="inlineStr">
        <is>
          <t>Включая 4 100 кВт×час × 6 ₽/кВт + 50% капекса/60</t>
        </is>
      </c>
    </row>
    <row r="7">
      <c r="A7" s="39" t="inlineStr">
        <is>
          <t>Производительность 1 видеокарты, сообщ/час</t>
        </is>
      </c>
      <c r="B7" s="41" t="n">
        <v>60</v>
      </c>
      <c r="C7" s="6" t="inlineStr">
        <is>
          <t>Реалистично для 235B на A100 при batch=4</t>
        </is>
      </c>
    </row>
    <row r="8">
      <c r="A8" s="39" t="inlineStr">
        <is>
          <t>Время работы, часов/мес</t>
        </is>
      </c>
      <c r="B8" s="41" t="n">
        <v>720</v>
      </c>
      <c r="C8" s="6" t="inlineStr">
        <is>
          <t>30 дней × 24 часа (всегда запущен)</t>
        </is>
      </c>
    </row>
    <row r="9">
      <c r="A9" s="39" t="inlineStr">
        <is>
          <t>Доля задач, которые можно роутить на Qwen</t>
        </is>
      </c>
      <c r="B9" s="32" t="n">
        <v>0.3</v>
      </c>
      <c r="C9" s="6" t="inlineStr">
        <is>
          <t>Простые правки, типовые задачи. 40-50% при умном роутинге.</t>
        </is>
      </c>
    </row>
    <row r="11">
      <c r="A11" s="33" t="inlineStr">
        <is>
          <t>Сколько сообщ может обработать в мес</t>
        </is>
      </c>
      <c r="B11" s="16">
        <f>B7*B8</f>
        <v/>
      </c>
      <c r="C11" s="2" t="inlineStr">
        <is>
          <t>на 1 GPU</t>
        </is>
      </c>
    </row>
    <row r="12">
      <c r="A12" s="33" t="inlineStr">
        <is>
          <t>Себест 1 сообщ на Qwen, ₽</t>
        </is>
      </c>
      <c r="B12" s="42">
        <f>B6/B11</f>
        <v/>
      </c>
      <c r="C12" s="2" t="inlineStr">
        <is>
          <t>opex / capacity</t>
        </is>
      </c>
    </row>
    <row r="13">
      <c r="A13" s="4" t="inlineStr">
        <is>
          <t>Если бы платили API (DeepSeek)</t>
        </is>
      </c>
      <c r="B13" s="43">
        <f>B11*'3. Цена сообщения'!B5</f>
        <v/>
      </c>
    </row>
    <row r="14">
      <c r="A14" s="4" t="inlineStr">
        <is>
          <t>Если бы платили API (Haiku)</t>
        </is>
      </c>
      <c r="B14" s="43">
        <f>B11*'3. Цена сообщения'!B8</f>
        <v/>
      </c>
    </row>
    <row r="15">
      <c r="A15" s="4" t="inlineStr">
        <is>
          <t>Если бы платили API (Sonnet)</t>
        </is>
      </c>
      <c r="B15" s="43">
        <f>B11*'3. Цена сообщения'!B11</f>
        <v/>
      </c>
    </row>
    <row r="18" ht="36" customHeight="1">
      <c r="A18" s="8" t="inlineStr">
        <is>
          <t>Активных Pro юзеров</t>
        </is>
      </c>
      <c r="B18" s="8" t="inlineStr">
        <is>
          <t>Msg/мес всего (200/юзер)</t>
        </is>
      </c>
      <c r="C18" s="8" t="inlineStr">
        <is>
          <t>Msg на Qwen (30%)</t>
        </is>
      </c>
      <c r="D18" s="8" t="inlineStr">
        <is>
          <t>Если бы Sonnet, ₽</t>
        </is>
      </c>
      <c r="E18" s="8" t="inlineStr">
        <is>
          <t>Себест на Qwen, ₽</t>
        </is>
      </c>
      <c r="F18" s="8" t="inlineStr">
        <is>
          <t>Экономия /мес</t>
        </is>
      </c>
      <c r="G18" s="8" t="inlineStr">
        <is>
          <t>Месяцев до точки безубыточности</t>
        </is>
      </c>
    </row>
    <row r="19">
      <c r="A19" s="18" t="n">
        <v>50</v>
      </c>
      <c r="B19" s="18" t="n">
        <v>10000</v>
      </c>
      <c r="C19" s="18">
        <f>B19*$B$9</f>
        <v/>
      </c>
      <c r="D19" s="11">
        <f>C19*'3. Цена сообщения'!B11</f>
        <v/>
      </c>
      <c r="E19" s="11">
        <f>$B$6</f>
        <v/>
      </c>
      <c r="F19" s="26">
        <f>D19-E19</f>
        <v/>
      </c>
      <c r="G19" s="22">
        <f>IF(F19&lt;=0,"никогда",ROUND($B$5/F19,1))</f>
        <v/>
      </c>
    </row>
    <row r="20">
      <c r="A20" s="18" t="n">
        <v>100</v>
      </c>
      <c r="B20" s="18" t="n">
        <v>20000</v>
      </c>
      <c r="C20" s="18">
        <f>B20*$B$9</f>
        <v/>
      </c>
      <c r="D20" s="11">
        <f>C20*'3. Цена сообщения'!B11</f>
        <v/>
      </c>
      <c r="E20" s="11">
        <f>$B$6</f>
        <v/>
      </c>
      <c r="F20" s="26">
        <f>D20-E20</f>
        <v/>
      </c>
      <c r="G20" s="22">
        <f>IF(F20&lt;=0,"никогда",ROUND($B$5/F20,1))</f>
        <v/>
      </c>
    </row>
    <row r="21">
      <c r="A21" s="18" t="n">
        <v>200</v>
      </c>
      <c r="B21" s="18" t="n">
        <v>40000</v>
      </c>
      <c r="C21" s="18">
        <f>B21*$B$9</f>
        <v/>
      </c>
      <c r="D21" s="11">
        <f>C21*'3. Цена сообщения'!B11</f>
        <v/>
      </c>
      <c r="E21" s="11">
        <f>$B$6</f>
        <v/>
      </c>
      <c r="F21" s="26">
        <f>D21-E21</f>
        <v/>
      </c>
      <c r="G21" s="22">
        <f>IF(F21&lt;=0,"никогда",ROUND($B$5/F21,1))</f>
        <v/>
      </c>
    </row>
    <row r="22">
      <c r="A22" s="18" t="n">
        <v>500</v>
      </c>
      <c r="B22" s="18" t="n">
        <v>100000</v>
      </c>
      <c r="C22" s="18">
        <f>B22*$B$9</f>
        <v/>
      </c>
      <c r="D22" s="11">
        <f>C22*'3. Цена сообщения'!B11</f>
        <v/>
      </c>
      <c r="E22" s="11">
        <f>$B$6</f>
        <v/>
      </c>
      <c r="F22" s="27">
        <f>D22-E22</f>
        <v/>
      </c>
      <c r="G22" s="22">
        <f>IF(F22&lt;=0,"никогда",ROUND($B$5/F22,1))</f>
        <v/>
      </c>
    </row>
    <row r="23">
      <c r="A23" s="18" t="n">
        <v>1000</v>
      </c>
      <c r="B23" s="18" t="n">
        <v>200000</v>
      </c>
      <c r="C23" s="18">
        <f>B23*$B$9</f>
        <v/>
      </c>
      <c r="D23" s="11">
        <f>C23*'3. Цена сообщения'!B11</f>
        <v/>
      </c>
      <c r="E23" s="11">
        <f>$B$6</f>
        <v/>
      </c>
      <c r="F23" s="27">
        <f>D23-E23</f>
        <v/>
      </c>
      <c r="G23" s="22">
        <f>IF(F23&lt;=0,"никогда",ROUND($B$5/F23,1))</f>
        <v/>
      </c>
    </row>
    <row r="24">
      <c r="A24" s="18" t="n">
        <v>2000</v>
      </c>
      <c r="B24" s="18" t="n">
        <v>400000</v>
      </c>
      <c r="C24" s="18">
        <f>B24*$B$9</f>
        <v/>
      </c>
      <c r="D24" s="11">
        <f>C24*'3. Цена сообщения'!B11</f>
        <v/>
      </c>
      <c r="E24" s="11">
        <f>$B$6</f>
        <v/>
      </c>
      <c r="F24" s="27">
        <f>D24-E24</f>
        <v/>
      </c>
      <c r="G24" s="22">
        <f>IF(F24&lt;=0,"никогда",ROUND($B$5/F24,1))</f>
        <v/>
      </c>
    </row>
    <row r="25">
      <c r="A25" s="18" t="n">
        <v>5000</v>
      </c>
      <c r="B25" s="18" t="n">
        <v>1000000</v>
      </c>
      <c r="C25" s="18">
        <f>B25*$B$9</f>
        <v/>
      </c>
      <c r="D25" s="11">
        <f>C25*'3. Цена сообщения'!B11</f>
        <v/>
      </c>
      <c r="E25" s="11">
        <f>$B$6</f>
        <v/>
      </c>
      <c r="F25" s="27">
        <f>D25-E25</f>
        <v/>
      </c>
      <c r="G25" s="22">
        <f>IF(F25&lt;=0,"никогда",ROUND($B$5/F25,1))</f>
        <v/>
      </c>
    </row>
    <row r="27">
      <c r="A27" s="3" t="inlineStr">
        <is>
          <t>ВЕРДИКТ</t>
        </is>
      </c>
    </row>
    <row r="28" ht="22" customHeight="1">
      <c r="A28" s="6" t="inlineStr">
        <is>
          <t>• До 100 активных Pro юзеров: Qwen НЕ окупается — opex 120к/мес больше чем экономия на API.</t>
        </is>
      </c>
    </row>
    <row r="29" ht="22" customHeight="1">
      <c r="A29" s="6" t="inlineStr">
        <is>
          <t>• 200-500 юзеров: 4-12 мес до точки безубыточности. Прицельно если есть стратегические причины (152-ФЗ, vendor lock-in protection).</t>
        </is>
      </c>
    </row>
    <row r="30" ht="22" customHeight="1">
      <c r="A30" s="6" t="inlineStr">
        <is>
          <t>• 500+ юзеров: 1-3 мес до точки безубыточности — однозначно ставить.</t>
        </is>
      </c>
    </row>
    <row r="31" ht="22" customHeight="1">
      <c r="A31" s="6" t="inlineStr">
        <is>
          <t>• По плану на M15: ~1 000 платящих → точки безубыточности на 4-м месяце с launch'a Qwen.</t>
        </is>
      </c>
    </row>
    <row r="32" ht="22" customHeight="1">
      <c r="A32" s="6" t="inlineStr">
        <is>
          <t>• Альтернатива до тех пор: остаёмся на DeepSeek + Haiku API. COGS низкий, гибкость высокая.</t>
        </is>
      </c>
    </row>
    <row r="34">
      <c r="A34" s="3" t="inlineStr">
        <is>
          <t>СТРАТЕГИЧЕСКАЯ ЦЕННОСТЬ (за пределами точки безубыточности)</t>
        </is>
      </c>
    </row>
    <row r="35" ht="22" customHeight="1">
      <c r="A35" s="6" t="inlineStr">
        <is>
          <t>★ 152-ФЗ-compliant: Qwen self-hosted = ПДн остаётся в нашем периметре. Открывает enterprise-сегмент.</t>
        </is>
      </c>
    </row>
    <row r="36" ht="22" customHeight="1">
      <c r="A36" s="6" t="inlineStr">
        <is>
          <t>★ Vendor lock-in protection: если Anthropic/OpenAI ограничат доступ из РФ — мы не встаём.</t>
        </is>
      </c>
    </row>
    <row r="37" ht="22" customHeight="1">
      <c r="A37" s="6" t="inlineStr">
        <is>
          <t>★ Маркетинг: «Open-source LLM в нашем контуре» = differentiation от Promto/Lovable/v0.</t>
        </is>
      </c>
    </row>
    <row r="38" ht="22" customHeight="1">
      <c r="A38" s="6" t="inlineStr">
        <is>
          <t>★ R&amp;D-площадка: можем fine-tune под наши задачи (code-gen для рос-стека: Tilda, ЮKassa, 1С API).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</cols>
  <sheetData>
    <row r="1">
      <c r="A1" s="1" t="inlineStr">
        <is>
          <t>Lean cost-структура · только реальные траты</t>
        </is>
      </c>
    </row>
    <row r="2" ht="32" customHeight="1">
      <c r="A2" s="2" t="inlineStr">
        <is>
          <t>Только то, что нужно: юрист + LLM (variable) + Серверум + домены/SSL + 300к/мес разработка. Никаких лишних FOT и маркетинговых бюджетов.</t>
        </is>
      </c>
    </row>
    <row r="4">
      <c r="A4" s="3" t="inlineStr">
        <is>
          <t>ПОСТОЯННЫЕ ЗАТРАТЫ (₽/мес, не зависят от числа клиентов)</t>
        </is>
      </c>
    </row>
    <row r="6" ht="36" customHeight="1">
      <c r="A6" s="8" t="inlineStr">
        <is>
          <t>Категория</t>
        </is>
      </c>
      <c r="B6" s="8" t="inlineStr">
        <is>
          <t>₽/мес</t>
        </is>
      </c>
      <c r="C6" s="8" t="inlineStr">
        <is>
          <t>Комментарий</t>
        </is>
      </c>
    </row>
    <row r="7">
      <c r="A7" s="9" t="inlineStr">
        <is>
          <t>Юрист</t>
        </is>
      </c>
      <c r="B7" s="17" t="n">
        <v>30000</v>
      </c>
      <c r="C7" s="44" t="inlineStr">
        <is>
          <t>Договоры, оферта, ИП/ЮЛ обслуживание, нерегулярные консультации</t>
        </is>
      </c>
    </row>
    <row r="8">
      <c r="A8" s="15" t="n"/>
      <c r="B8" s="15" t="n"/>
      <c r="C8" s="15" t="n"/>
    </row>
    <row r="9">
      <c r="A9" s="22" t="inlineStr">
        <is>
          <t>ИТОГО ПОСТОЯННЫХ</t>
        </is>
      </c>
      <c r="B9" s="45">
        <f>B7</f>
        <v/>
      </c>
      <c r="C9" s="15" t="n"/>
    </row>
    <row r="11">
      <c r="A11" s="3" t="inlineStr">
        <is>
          <t>ПОЧЕМУ ТАК МАЛО ПОСТОЯННЫХ?</t>
        </is>
      </c>
    </row>
    <row r="12" ht="22" customHeight="1">
      <c r="A12" s="6" t="inlineStr">
        <is>
          <t>• Разработку делают founders сами — без зарплат. AI-инструменты делают это реальным даже для одного человека.</t>
        </is>
      </c>
    </row>
    <row r="13" ht="22" customHeight="1">
      <c r="A13" s="6" t="inlineStr">
        <is>
          <t>• Серверум и домен клиента — в стоимости подписки (variable per customer), не наши fixed.</t>
        </is>
      </c>
    </row>
    <row r="14" ht="22" customHeight="1">
      <c r="A14" s="6" t="inlineStr">
        <is>
          <t>• Маркетинг с M2 (после запуска): 100 → 250 К/мес ramp. Если clipboard окупает себя — масштабируем.</t>
        </is>
      </c>
    </row>
    <row r="15" ht="22" customHeight="1">
      <c r="A15" s="6" t="inlineStr">
        <is>
          <t>• Юрист — единственная обязательная статья (договоры, оферта, документы по 152-ФЗ).</t>
        </is>
      </c>
    </row>
    <row r="16">
      <c r="A16" s="3" t="inlineStr">
        <is>
          <t>ПЕРЕМЕННЫЕ ЗАТРАТЫ (₽/клиент/мес, профиль B — балансный)</t>
        </is>
      </c>
    </row>
    <row r="18" ht="36" customHeight="1">
      <c r="A18" s="8" t="inlineStr">
        <is>
          <t>Тариф</t>
        </is>
      </c>
      <c r="B18" s="8" t="inlineStr">
        <is>
          <t>Цена ₽/мес</t>
        </is>
      </c>
      <c r="C18" s="8" t="inlineStr">
        <is>
          <t>LLM-COGS (wallet/markup)</t>
        </is>
      </c>
      <c r="D18" s="8" t="inlineStr">
        <is>
          <t>Серверум · сервер для сайта клиента</t>
        </is>
      </c>
      <c r="E18" s="8" t="inlineStr">
        <is>
          <t>Домен клиента + HTTPS</t>
        </is>
      </c>
      <c r="F18" s="8" t="inlineStr">
        <is>
          <t>Комиссия 3%</t>
        </is>
      </c>
      <c r="G18" s="8" t="inlineStr">
        <is>
          <t>Итого Var</t>
        </is>
      </c>
      <c r="H18" s="8" t="inlineStr">
        <is>
          <t>Gross маржа ₽</t>
        </is>
      </c>
      <c r="I18" s="8" t="inlineStr">
        <is>
          <t>Маржа %</t>
        </is>
      </c>
    </row>
    <row r="19">
      <c r="A19" s="9" t="inlineStr">
        <is>
          <t>Lite</t>
        </is>
      </c>
      <c r="B19" s="17" t="n">
        <v>990</v>
      </c>
      <c r="C19" s="11">
        <f>1000/'1. Параметры'!$B$6</f>
        <v/>
      </c>
      <c r="D19" s="17" t="n">
        <v>50</v>
      </c>
      <c r="E19" s="17" t="n">
        <v>25</v>
      </c>
      <c r="F19" s="11">
        <f>B19*0.03</f>
        <v/>
      </c>
      <c r="G19" s="26">
        <f>C19+D19+E19+F19</f>
        <v/>
      </c>
      <c r="H19" s="46">
        <f>B19-G19</f>
        <v/>
      </c>
      <c r="I19" s="47">
        <f>H19/B19</f>
        <v/>
      </c>
    </row>
    <row r="20">
      <c r="A20" s="9" t="inlineStr">
        <is>
          <t>Starter</t>
        </is>
      </c>
      <c r="B20" s="17" t="n">
        <v>2990</v>
      </c>
      <c r="C20" s="11">
        <f>2500/'1. Параметры'!$B$6</f>
        <v/>
      </c>
      <c r="D20" s="17" t="n">
        <v>600</v>
      </c>
      <c r="E20" s="17" t="n">
        <v>50</v>
      </c>
      <c r="F20" s="11">
        <f>B20*0.03</f>
        <v/>
      </c>
      <c r="G20" s="26">
        <f>C20+D20+E20+F20</f>
        <v/>
      </c>
      <c r="H20" s="46">
        <f>B20-G20</f>
        <v/>
      </c>
      <c r="I20" s="47">
        <f>H20/B20</f>
        <v/>
      </c>
    </row>
    <row r="21">
      <c r="A21" s="9" t="inlineStr">
        <is>
          <t>Pro</t>
        </is>
      </c>
      <c r="B21" s="17" t="n">
        <v>7990</v>
      </c>
      <c r="C21" s="11">
        <f>6000/'1. Параметры'!$B$6</f>
        <v/>
      </c>
      <c r="D21" s="17" t="n">
        <v>3000</v>
      </c>
      <c r="E21" s="17" t="n">
        <v>100</v>
      </c>
      <c r="F21" s="11">
        <f>B21*0.03</f>
        <v/>
      </c>
      <c r="G21" s="26">
        <f>C21+D21+E21+F21</f>
        <v/>
      </c>
      <c r="H21" s="46">
        <f>B21-G21</f>
        <v/>
      </c>
      <c r="I21" s="47">
        <f>H21/B21</f>
        <v/>
      </c>
    </row>
    <row r="22">
      <c r="A22" s="9" t="inlineStr">
        <is>
          <t>Enterprise</t>
        </is>
      </c>
      <c r="B22" s="17" t="n">
        <v>19990</v>
      </c>
      <c r="C22" s="11">
        <f>18000/'1. Параметры'!$B$6</f>
        <v/>
      </c>
      <c r="D22" s="17" t="n">
        <v>8000</v>
      </c>
      <c r="E22" s="17" t="n">
        <v>250</v>
      </c>
      <c r="F22" s="11">
        <f>B22*0.03</f>
        <v/>
      </c>
      <c r="G22" s="26">
        <f>C22+D22+E22+F22</f>
        <v/>
      </c>
      <c r="H22" s="46">
        <f>B22-G22</f>
        <v/>
      </c>
      <c r="I22" s="47">
        <f>H22/B22</f>
        <v/>
      </c>
    </row>
    <row r="24">
      <c r="A24" s="2" t="inlineStr">
        <is>
          <t>• LLM-COGS = wallet ₽ / markup 2.8 (т.к. wallet это retail-цена токенов).</t>
        </is>
      </c>
    </row>
    <row r="25">
      <c r="A25" s="2" t="inlineStr">
        <is>
          <t>• Если клиент НЕ сжигает весь wallet — наш COGS меньше, маржа выше.</t>
        </is>
      </c>
    </row>
    <row r="26">
      <c r="A26" s="2" t="inlineStr">
        <is>
          <t>• Серверум — passthru от SafeCloud / CORTEL по партнёрскому прайсу + наша наценка уже в подписке.</t>
        </is>
      </c>
    </row>
    <row r="27">
      <c r="A27" s="2" t="inlineStr">
        <is>
          <t>• Домен клиента: .ru/.рф ~300 ₽/год от Reg.ru → 25 ₽/мес. Включается в тариф.</t>
        </is>
      </c>
    </row>
    <row r="28">
      <c r="A28" s="2" t="inlineStr">
        <is>
          <t>• HTTPS-сертификат от Let's Encrypt — бесплатно, авто-обновление.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Точка безубыточности · сколько платящих клиентов нужно</t>
        </is>
      </c>
    </row>
    <row r="2" ht="32" customHeight="1">
      <c r="A2" s="2" t="inlineStr">
        <is>
          <t>Зависит от микса тарифов. Чем больше Pro/Ent в миксе, тем меньше клиентов нужно.</t>
        </is>
      </c>
    </row>
    <row r="4">
      <c r="A4" s="3" t="inlineStr">
        <is>
          <t>ДОЛИ ТАРИФОВ В МИКСЕ</t>
        </is>
      </c>
    </row>
    <row r="6">
      <c r="A6" s="4" t="inlineStr">
        <is>
          <t>Lite</t>
        </is>
      </c>
      <c r="B6" s="32" t="n">
        <v>0.5</v>
      </c>
    </row>
    <row r="7">
      <c r="A7" s="4" t="inlineStr">
        <is>
          <t>Starter</t>
        </is>
      </c>
      <c r="B7" s="32" t="n">
        <v>0.25</v>
      </c>
    </row>
    <row r="8">
      <c r="A8" s="4" t="inlineStr">
        <is>
          <t>Pro</t>
        </is>
      </c>
      <c r="B8" s="32" t="n">
        <v>0.18</v>
      </c>
    </row>
    <row r="9">
      <c r="A9" s="4" t="inlineStr">
        <is>
          <t>Enterprise</t>
        </is>
      </c>
      <c r="B9" s="32" t="n">
        <v>0.07000000000000001</v>
      </c>
    </row>
    <row r="10">
      <c r="A10" s="33" t="inlineStr">
        <is>
          <t>Сумма (= 100%)</t>
        </is>
      </c>
      <c r="B10" s="48">
        <f>SUM(B6:B9)</f>
        <v/>
      </c>
    </row>
    <row r="13">
      <c r="A13" s="3" t="inlineStr">
        <is>
          <t>ВЗВЕШЕННЫЕ ПОКАЗАТЕЛИ</t>
        </is>
      </c>
    </row>
    <row r="15">
      <c r="A15" s="4" t="inlineStr">
        <is>
          <t>Средний доход с клиента, ₽</t>
        </is>
      </c>
      <c r="B15" s="49">
        <f>B6*'13. Lean opex'!B21+B7*'13. Lean opex'!B22+B8*'13. Lean opex'!B21+B9*'13. Lean opex'!B22</f>
        <v/>
      </c>
    </row>
    <row r="16">
      <c r="A16" s="4" t="inlineStr">
        <is>
          <t>Маржа на 1 клиента/мес, ₽</t>
        </is>
      </c>
      <c r="B16" s="49">
        <f>B6*'13. Lean opex'!H21+B7*'13. Lean opex'!H22+B8*'13. Lean opex'!H21+B9*'13. Lean opex'!H22</f>
        <v/>
      </c>
    </row>
    <row r="17">
      <c r="A17" s="4" t="inlineStr">
        <is>
          <t>Маржа % от выручки</t>
        </is>
      </c>
      <c r="B17" s="50">
        <f>B16/B15</f>
        <v/>
      </c>
    </row>
    <row r="20">
      <c r="A20" s="3" t="inlineStr">
        <is>
          <t>ТОЧКА БЕЗУБЫТОЧНОСТИ</t>
        </is>
      </c>
    </row>
    <row r="22">
      <c r="A22" s="4" t="inlineStr">
        <is>
          <t>Постоянный opex, ₽/мес</t>
        </is>
      </c>
      <c r="B22" s="51">
        <f>'13. Lean opex'!B9</f>
        <v/>
      </c>
    </row>
    <row r="23">
      <c r="A23" s="33" t="inlineStr">
        <is>
          <t>Платящих клиентов нужно</t>
        </is>
      </c>
      <c r="B23" s="52">
        <f>ROUNDUP(B22/B16,0)</f>
        <v/>
      </c>
    </row>
    <row r="24">
      <c r="A24" s="33" t="inlineStr">
        <is>
          <t>Выручка/мес для безубыточности, ₽</t>
        </is>
      </c>
      <c r="B24" s="53">
        <f>B23*B15</f>
        <v/>
      </c>
    </row>
    <row r="27">
      <c r="A27" s="3" t="inlineStr">
        <is>
          <t>ЧУВСТВИТЕЛЬНОСТЬ ПО МИКСУ</t>
        </is>
      </c>
    </row>
    <row r="29" ht="36" customHeight="1">
      <c r="A29" s="8" t="inlineStr">
        <is>
          <t>Сценарий</t>
        </is>
      </c>
      <c r="B29" s="8" t="inlineStr">
        <is>
          <t>Lite %</t>
        </is>
      </c>
      <c r="C29" s="8" t="inlineStr">
        <is>
          <t>Starter %</t>
        </is>
      </c>
      <c r="D29" s="8" t="inlineStr">
        <is>
          <t>Pro %</t>
        </is>
      </c>
      <c r="E29" s="8" t="inlineStr">
        <is>
          <t>Ent %</t>
        </is>
      </c>
      <c r="F29" s="8" t="inlineStr">
        <is>
          <t>Доход/клиент ₽</t>
        </is>
      </c>
      <c r="G29" s="8" t="inlineStr">
        <is>
          <t>Маржа/клиент ₽</t>
        </is>
      </c>
      <c r="H29" s="8" t="inlineStr">
        <is>
          <t>Клиентов до плюса</t>
        </is>
      </c>
    </row>
    <row r="30">
      <c r="A30" s="9" t="inlineStr">
        <is>
          <t>Зрелый (M15+, default)</t>
        </is>
      </c>
      <c r="B30" s="28" t="n">
        <v>0.5</v>
      </c>
      <c r="C30" s="28" t="n">
        <v>0.25</v>
      </c>
      <c r="D30" s="28" t="n">
        <v>0.18</v>
      </c>
      <c r="E30" s="28" t="n">
        <v>0.07000000000000001</v>
      </c>
      <c r="F30" s="11">
        <f>B30*'13. Lean opex'!B21+C30*'13. Lean opex'!B22+D30*'13. Lean opex'!B21+E30*'13. Lean opex'!B22</f>
        <v/>
      </c>
      <c r="G30" s="11">
        <f>B30*'13. Lean opex'!H21+C30*'13. Lean opex'!H22+D30*'13. Lean opex'!H21+E30*'13. Lean opex'!H22</f>
        <v/>
      </c>
      <c r="H30" s="54">
        <f>ROUNDUP('13. Lean opex'!B9/G30,0)</f>
        <v/>
      </c>
    </row>
    <row r="31">
      <c r="A31" s="9" t="inlineStr">
        <is>
          <t>Лит-доминантный (M5-9)</t>
        </is>
      </c>
      <c r="B31" s="28" t="n">
        <v>0.8</v>
      </c>
      <c r="C31" s="28" t="n">
        <v>0.15</v>
      </c>
      <c r="D31" s="28" t="n">
        <v>0.04</v>
      </c>
      <c r="E31" s="28" t="n">
        <v>0.01</v>
      </c>
      <c r="F31" s="11">
        <f>B31*'13. Lean opex'!B21+C31*'13. Lean opex'!B22+D31*'13. Lean opex'!B21+E31*'13. Lean opex'!B22</f>
        <v/>
      </c>
      <c r="G31" s="11">
        <f>B31*'13. Lean opex'!H21+C31*'13. Lean opex'!H22+D31*'13. Lean opex'!H21+E31*'13. Lean opex'!H22</f>
        <v/>
      </c>
      <c r="H31" s="54">
        <f>ROUNDUP('13. Lean opex'!B9/G31,0)</f>
        <v/>
      </c>
    </row>
    <row r="32">
      <c r="A32" s="9" t="inlineStr">
        <is>
          <t>Бизнес-mix (M10-14)</t>
        </is>
      </c>
      <c r="B32" s="28" t="n">
        <v>0.6</v>
      </c>
      <c r="C32" s="28" t="n">
        <v>0.25</v>
      </c>
      <c r="D32" s="28" t="n">
        <v>0.12</v>
      </c>
      <c r="E32" s="28" t="n">
        <v>0.03</v>
      </c>
      <c r="F32" s="11">
        <f>B32*'13. Lean opex'!B21+C32*'13. Lean opex'!B22+D32*'13. Lean opex'!B21+E32*'13. Lean opex'!B22</f>
        <v/>
      </c>
      <c r="G32" s="11">
        <f>B32*'13. Lean opex'!H21+C32*'13. Lean opex'!H22+D32*'13. Lean opex'!H21+E32*'13. Lean opex'!H22</f>
        <v/>
      </c>
      <c r="H32" s="54">
        <f>ROUNDUP('13. Lean opex'!B9/G32,0)</f>
        <v/>
      </c>
    </row>
    <row r="33">
      <c r="A33" s="9" t="inlineStr">
        <is>
          <t>Премиум-tilt (M18+)</t>
        </is>
      </c>
      <c r="B33" s="28" t="n">
        <v>0.3</v>
      </c>
      <c r="C33" s="28" t="n">
        <v>0.25</v>
      </c>
      <c r="D33" s="28" t="n">
        <v>0.3</v>
      </c>
      <c r="E33" s="28" t="n">
        <v>0.15</v>
      </c>
      <c r="F33" s="11">
        <f>B33*'13. Lean opex'!B21+C33*'13. Lean opex'!B22+D33*'13. Lean opex'!B21+E33*'13. Lean opex'!B22</f>
        <v/>
      </c>
      <c r="G33" s="11">
        <f>B33*'13. Lean opex'!H21+C33*'13. Lean opex'!H22+D33*'13. Lean opex'!H21+E33*'13. Lean opex'!H22</f>
        <v/>
      </c>
      <c r="H33" s="54">
        <f>ROUNDUP('13. Lean opex'!B9/G33,0)</f>
        <v/>
      </c>
    </row>
    <row r="34">
      <c r="A34" s="9" t="inlineStr">
        <is>
          <t>Только Pro/Ent (B2B fokus)</t>
        </is>
      </c>
      <c r="B34" s="28" t="n">
        <v>0</v>
      </c>
      <c r="C34" s="28" t="n">
        <v>0</v>
      </c>
      <c r="D34" s="28" t="n">
        <v>0.7</v>
      </c>
      <c r="E34" s="28" t="n">
        <v>0.3</v>
      </c>
      <c r="F34" s="11">
        <f>B34*'13. Lean opex'!B21+C34*'13. Lean opex'!B22+D34*'13. Lean opex'!B21+E34*'13. Lean opex'!B22</f>
        <v/>
      </c>
      <c r="G34" s="11">
        <f>B34*'13. Lean opex'!H21+C34*'13. Lean opex'!H22+D34*'13. Lean opex'!H21+E34*'13. Lean opex'!H22</f>
        <v/>
      </c>
      <c r="H34" s="54">
        <f>ROUNDUP('13. Lean opex'!B9/G34,0)</f>
        <v/>
      </c>
    </row>
    <row r="37">
      <c r="A37" s="6" t="inlineStr">
        <is>
          <t>ВЫВОД: при дефолтном миксе точки безубыточности ≈ 280 платящих. При премиум-tilt — всего ~145.</t>
        </is>
      </c>
    </row>
    <row r="38">
      <c r="A38" s="2" t="inlineStr">
        <is>
          <t>vs v2 business plan (с маркетингом и FOT 3.5М/мес): точки безубыточности был 858 → теперь 280 = в 3× меньше.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Финмодель 24 месяца · структура расходов как доля выручки</t>
        </is>
      </c>
    </row>
    <row r="2" ht="32" customHeight="1">
      <c r="A2" s="2" t="inlineStr">
        <is>
          <t>Зарплаты = 30% выручки (с минимумом 30к в M1-M4) · Токены+инфра = 30% · Бэкофис (VPS клиенту + домены + операционка) = 10% · Маркетинг = отдельно фиксированно. Платящие пересчитаны под маркетинговую реальность 2026.</t>
        </is>
      </c>
    </row>
    <row r="4" ht="24" customHeight="1">
      <c r="A4" s="3" t="inlineStr">
        <is>
          <t>Параметр</t>
        </is>
      </c>
      <c r="B4" s="55" t="inlineStr">
        <is>
          <t>M1</t>
        </is>
      </c>
      <c r="C4" s="55" t="inlineStr">
        <is>
          <t>M2</t>
        </is>
      </c>
      <c r="D4" s="55" t="inlineStr">
        <is>
          <t>M3</t>
        </is>
      </c>
      <c r="E4" s="55" t="inlineStr">
        <is>
          <t>M4</t>
        </is>
      </c>
      <c r="F4" s="55" t="inlineStr">
        <is>
          <t>M5</t>
        </is>
      </c>
      <c r="G4" s="55" t="inlineStr">
        <is>
          <t>M6</t>
        </is>
      </c>
      <c r="H4" s="55" t="inlineStr">
        <is>
          <t>M7</t>
        </is>
      </c>
      <c r="I4" s="55" t="inlineStr">
        <is>
          <t>M8</t>
        </is>
      </c>
      <c r="J4" s="55" t="inlineStr">
        <is>
          <t>M9</t>
        </is>
      </c>
      <c r="K4" s="55" t="inlineStr">
        <is>
          <t>M10</t>
        </is>
      </c>
      <c r="L4" s="55" t="inlineStr">
        <is>
          <t>M11</t>
        </is>
      </c>
      <c r="M4" s="55" t="inlineStr">
        <is>
          <t>M12</t>
        </is>
      </c>
      <c r="N4" s="55" t="inlineStr">
        <is>
          <t>M13</t>
        </is>
      </c>
      <c r="O4" s="55" t="inlineStr">
        <is>
          <t>M14</t>
        </is>
      </c>
      <c r="P4" s="55" t="inlineStr">
        <is>
          <t>M15</t>
        </is>
      </c>
      <c r="Q4" s="55" t="inlineStr">
        <is>
          <t>M16</t>
        </is>
      </c>
      <c r="R4" s="55" t="inlineStr">
        <is>
          <t>M17</t>
        </is>
      </c>
      <c r="S4" s="55" t="inlineStr">
        <is>
          <t>M18</t>
        </is>
      </c>
      <c r="T4" s="55" t="inlineStr">
        <is>
          <t>M19</t>
        </is>
      </c>
      <c r="U4" s="55" t="inlineStr">
        <is>
          <t>M20</t>
        </is>
      </c>
      <c r="V4" s="55" t="inlineStr">
        <is>
          <t>M21</t>
        </is>
      </c>
      <c r="W4" s="55" t="inlineStr">
        <is>
          <t>M22</t>
        </is>
      </c>
      <c r="X4" s="55" t="inlineStr">
        <is>
          <t>M23</t>
        </is>
      </c>
      <c r="Y4" s="55" t="inlineStr">
        <is>
          <t>M24</t>
        </is>
      </c>
    </row>
    <row r="5">
      <c r="A5" s="4" t="inlineStr">
        <is>
          <t>Платящие клиенты (накопленно)</t>
        </is>
      </c>
      <c r="B5" s="56" t="n">
        <v>0</v>
      </c>
      <c r="C5" s="56" t="n">
        <v>10</v>
      </c>
      <c r="D5" s="56" t="n">
        <v>30</v>
      </c>
      <c r="E5" s="56" t="n">
        <v>75</v>
      </c>
      <c r="F5" s="56" t="n">
        <v>165</v>
      </c>
      <c r="G5" s="56" t="n">
        <v>300</v>
      </c>
      <c r="H5" s="56" t="n">
        <v>480</v>
      </c>
      <c r="I5" s="56" t="n">
        <v>660</v>
      </c>
      <c r="J5" s="56" t="n">
        <v>870</v>
      </c>
      <c r="K5" s="56" t="n">
        <v>1100</v>
      </c>
      <c r="L5" s="56" t="n">
        <v>1380</v>
      </c>
      <c r="M5" s="56" t="n">
        <v>1670</v>
      </c>
      <c r="N5" s="56" t="n">
        <v>1980</v>
      </c>
      <c r="O5" s="56" t="n">
        <v>2330</v>
      </c>
      <c r="P5" s="56" t="n">
        <v>2710</v>
      </c>
      <c r="Q5" s="56" t="n">
        <v>3120</v>
      </c>
      <c r="R5" s="56" t="n">
        <v>3550</v>
      </c>
      <c r="S5" s="56" t="n">
        <v>4000</v>
      </c>
      <c r="T5" s="56" t="n">
        <v>4400</v>
      </c>
      <c r="U5" s="56" t="n">
        <v>4800</v>
      </c>
      <c r="V5" s="56" t="n">
        <v>5200</v>
      </c>
      <c r="W5" s="56" t="n">
        <v>5550</v>
      </c>
      <c r="X5" s="56" t="n">
        <v>5900</v>
      </c>
      <c r="Y5" s="56" t="n">
        <v>6250</v>
      </c>
    </row>
    <row r="6">
      <c r="A6" s="4" t="inlineStr">
        <is>
          <t>Средний доход с клиента, ₽/мес</t>
        </is>
      </c>
      <c r="B6" s="57" t="n">
        <v>0</v>
      </c>
      <c r="C6" s="57" t="n">
        <v>990</v>
      </c>
      <c r="D6" s="57" t="n">
        <v>990</v>
      </c>
      <c r="E6" s="57" t="n">
        <v>1100</v>
      </c>
      <c r="F6" s="57" t="n">
        <v>1200</v>
      </c>
      <c r="G6" s="57" t="n">
        <v>1400</v>
      </c>
      <c r="H6" s="57" t="n">
        <v>1700</v>
      </c>
      <c r="I6" s="57" t="n">
        <v>2000</v>
      </c>
      <c r="J6" s="57" t="n">
        <v>2300</v>
      </c>
      <c r="K6" s="57" t="n">
        <v>2600</v>
      </c>
      <c r="L6" s="57" t="n">
        <v>2900</v>
      </c>
      <c r="M6" s="57" t="n">
        <v>3150</v>
      </c>
      <c r="N6" s="57" t="n">
        <v>3400</v>
      </c>
      <c r="O6" s="57" t="n">
        <v>3650</v>
      </c>
      <c r="P6" s="57" t="n">
        <v>3850</v>
      </c>
      <c r="Q6" s="57" t="n">
        <v>3950</v>
      </c>
      <c r="R6" s="57" t="n">
        <v>4030</v>
      </c>
      <c r="S6" s="57" t="n">
        <v>4080</v>
      </c>
      <c r="T6" s="57" t="n">
        <v>4080</v>
      </c>
      <c r="U6" s="57" t="n">
        <v>4100</v>
      </c>
      <c r="V6" s="57" t="n">
        <v>4120</v>
      </c>
      <c r="W6" s="57" t="n">
        <v>4140</v>
      </c>
      <c r="X6" s="57" t="n">
        <v>4150</v>
      </c>
      <c r="Y6" s="57" t="n">
        <v>4160</v>
      </c>
    </row>
    <row r="7">
      <c r="A7" s="33" t="inlineStr">
        <is>
          <t>ВЫРУЧКА, ₽/мес</t>
        </is>
      </c>
      <c r="B7" s="49">
        <f>B5*B6</f>
        <v/>
      </c>
      <c r="C7" s="49">
        <f>C5*C6</f>
        <v/>
      </c>
      <c r="D7" s="49">
        <f>D5*D6</f>
        <v/>
      </c>
      <c r="E7" s="49">
        <f>E5*E6</f>
        <v/>
      </c>
      <c r="F7" s="49">
        <f>F5*F6</f>
        <v/>
      </c>
      <c r="G7" s="49">
        <f>G5*G6</f>
        <v/>
      </c>
      <c r="H7" s="49">
        <f>H5*H6</f>
        <v/>
      </c>
      <c r="I7" s="49">
        <f>I5*I6</f>
        <v/>
      </c>
      <c r="J7" s="49">
        <f>J5*J6</f>
        <v/>
      </c>
      <c r="K7" s="49">
        <f>K5*K6</f>
        <v/>
      </c>
      <c r="L7" s="49">
        <f>L5*L6</f>
        <v/>
      </c>
      <c r="M7" s="49">
        <f>M5*M6</f>
        <v/>
      </c>
      <c r="N7" s="49">
        <f>N5*N6</f>
        <v/>
      </c>
      <c r="O7" s="49">
        <f>O5*O6</f>
        <v/>
      </c>
      <c r="P7" s="49">
        <f>P5*P6</f>
        <v/>
      </c>
      <c r="Q7" s="49">
        <f>Q5*Q6</f>
        <v/>
      </c>
      <c r="R7" s="49">
        <f>R5*R6</f>
        <v/>
      </c>
      <c r="S7" s="49">
        <f>S5*S6</f>
        <v/>
      </c>
      <c r="T7" s="49">
        <f>T5*T6</f>
        <v/>
      </c>
      <c r="U7" s="49">
        <f>U5*U6</f>
        <v/>
      </c>
      <c r="V7" s="49">
        <f>V5*V6</f>
        <v/>
      </c>
      <c r="W7" s="49">
        <f>W5*W6</f>
        <v/>
      </c>
      <c r="X7" s="49">
        <f>X5*X6</f>
        <v/>
      </c>
      <c r="Y7" s="49">
        <f>Y5*Y6</f>
        <v/>
      </c>
    </row>
    <row r="9">
      <c r="A9" s="4" t="inlineStr">
        <is>
          <t>Зарплаты (30% выручки или 30к, что больше), ₽</t>
        </is>
      </c>
      <c r="B9" s="43">
        <f>MAX(30000,B7*0.3)</f>
        <v/>
      </c>
      <c r="C9" s="43">
        <f>MAX(30000,C7*0.3)</f>
        <v/>
      </c>
      <c r="D9" s="43">
        <f>MAX(30000,D7*0.3)</f>
        <v/>
      </c>
      <c r="E9" s="43">
        <f>MAX(30000,E7*0.3)</f>
        <v/>
      </c>
      <c r="F9" s="43">
        <f>MAX(30000,F7*0.3)</f>
        <v/>
      </c>
      <c r="G9" s="43">
        <f>MAX(30000,G7*0.3)</f>
        <v/>
      </c>
      <c r="H9" s="43">
        <f>MAX(30000,H7*0.3)</f>
        <v/>
      </c>
      <c r="I9" s="43">
        <f>MAX(30000,I7*0.3)</f>
        <v/>
      </c>
      <c r="J9" s="43">
        <f>MAX(30000,J7*0.3)</f>
        <v/>
      </c>
      <c r="K9" s="43">
        <f>MAX(30000,K7*0.3)</f>
        <v/>
      </c>
      <c r="L9" s="43">
        <f>MAX(30000,L7*0.3)</f>
        <v/>
      </c>
      <c r="M9" s="43">
        <f>MAX(30000,M7*0.3)</f>
        <v/>
      </c>
      <c r="N9" s="43">
        <f>MAX(30000,N7*0.3)</f>
        <v/>
      </c>
      <c r="O9" s="43">
        <f>MAX(30000,O7*0.3)</f>
        <v/>
      </c>
      <c r="P9" s="43">
        <f>MAX(30000,P7*0.3)</f>
        <v/>
      </c>
      <c r="Q9" s="43">
        <f>MAX(30000,Q7*0.3)</f>
        <v/>
      </c>
      <c r="R9" s="43">
        <f>MAX(30000,R7*0.3)</f>
        <v/>
      </c>
      <c r="S9" s="43">
        <f>MAX(30000,S7*0.3)</f>
        <v/>
      </c>
      <c r="T9" s="43">
        <f>MAX(30000,T7*0.3)</f>
        <v/>
      </c>
      <c r="U9" s="43">
        <f>MAX(30000,U7*0.3)</f>
        <v/>
      </c>
      <c r="V9" s="43">
        <f>MAX(30000,V7*0.3)</f>
        <v/>
      </c>
      <c r="W9" s="43">
        <f>MAX(30000,W7*0.3)</f>
        <v/>
      </c>
      <c r="X9" s="43">
        <f>MAX(30000,X7*0.3)</f>
        <v/>
      </c>
      <c r="Y9" s="43">
        <f>MAX(30000,Y7*0.3)</f>
        <v/>
      </c>
    </row>
    <row r="10">
      <c r="A10" s="4" t="inlineStr">
        <is>
          <t>Токены + наша инфра (30% выручки), ₽</t>
        </is>
      </c>
      <c r="B10" s="43">
        <f>B7*0.3</f>
        <v/>
      </c>
      <c r="C10" s="43">
        <f>C7*0.3</f>
        <v/>
      </c>
      <c r="D10" s="43">
        <f>D7*0.3</f>
        <v/>
      </c>
      <c r="E10" s="43">
        <f>E7*0.3</f>
        <v/>
      </c>
      <c r="F10" s="43">
        <f>F7*0.3</f>
        <v/>
      </c>
      <c r="G10" s="43">
        <f>G7*0.3</f>
        <v/>
      </c>
      <c r="H10" s="43">
        <f>H7*0.3</f>
        <v/>
      </c>
      <c r="I10" s="43">
        <f>I7*0.3</f>
        <v/>
      </c>
      <c r="J10" s="43">
        <f>J7*0.3</f>
        <v/>
      </c>
      <c r="K10" s="43">
        <f>K7*0.3</f>
        <v/>
      </c>
      <c r="L10" s="43">
        <f>L7*0.3</f>
        <v/>
      </c>
      <c r="M10" s="43">
        <f>M7*0.3</f>
        <v/>
      </c>
      <c r="N10" s="43">
        <f>N7*0.3</f>
        <v/>
      </c>
      <c r="O10" s="43">
        <f>O7*0.3</f>
        <v/>
      </c>
      <c r="P10" s="43">
        <f>P7*0.3</f>
        <v/>
      </c>
      <c r="Q10" s="43">
        <f>Q7*0.3</f>
        <v/>
      </c>
      <c r="R10" s="43">
        <f>R7*0.3</f>
        <v/>
      </c>
      <c r="S10" s="43">
        <f>S7*0.3</f>
        <v/>
      </c>
      <c r="T10" s="43">
        <f>T7*0.3</f>
        <v/>
      </c>
      <c r="U10" s="43">
        <f>U7*0.3</f>
        <v/>
      </c>
      <c r="V10" s="43">
        <f>V7*0.3</f>
        <v/>
      </c>
      <c r="W10" s="43">
        <f>W7*0.3</f>
        <v/>
      </c>
      <c r="X10" s="43">
        <f>X7*0.3</f>
        <v/>
      </c>
      <c r="Y10" s="43">
        <f>Y7*0.3</f>
        <v/>
      </c>
    </row>
    <row r="11">
      <c r="A11" s="4" t="inlineStr">
        <is>
          <t>Бэкофис: VPS клиентов + домены + опер (10%), ₽</t>
        </is>
      </c>
      <c r="B11" s="43">
        <f>B7*0.1</f>
        <v/>
      </c>
      <c r="C11" s="43">
        <f>C7*0.1</f>
        <v/>
      </c>
      <c r="D11" s="43">
        <f>D7*0.1</f>
        <v/>
      </c>
      <c r="E11" s="43">
        <f>E7*0.1</f>
        <v/>
      </c>
      <c r="F11" s="43">
        <f>F7*0.1</f>
        <v/>
      </c>
      <c r="G11" s="43">
        <f>G7*0.1</f>
        <v/>
      </c>
      <c r="H11" s="43">
        <f>H7*0.1</f>
        <v/>
      </c>
      <c r="I11" s="43">
        <f>I7*0.1</f>
        <v/>
      </c>
      <c r="J11" s="43">
        <f>J7*0.1</f>
        <v/>
      </c>
      <c r="K11" s="43">
        <f>K7*0.1</f>
        <v/>
      </c>
      <c r="L11" s="43">
        <f>L7*0.1</f>
        <v/>
      </c>
      <c r="M11" s="43">
        <f>M7*0.1</f>
        <v/>
      </c>
      <c r="N11" s="43">
        <f>N7*0.1</f>
        <v/>
      </c>
      <c r="O11" s="43">
        <f>O7*0.1</f>
        <v/>
      </c>
      <c r="P11" s="43">
        <f>P7*0.1</f>
        <v/>
      </c>
      <c r="Q11" s="43">
        <f>Q7*0.1</f>
        <v/>
      </c>
      <c r="R11" s="43">
        <f>R7*0.1</f>
        <v/>
      </c>
      <c r="S11" s="43">
        <f>S7*0.1</f>
        <v/>
      </c>
      <c r="T11" s="43">
        <f>T7*0.1</f>
        <v/>
      </c>
      <c r="U11" s="43">
        <f>U7*0.1</f>
        <v/>
      </c>
      <c r="V11" s="43">
        <f>V7*0.1</f>
        <v/>
      </c>
      <c r="W11" s="43">
        <f>W7*0.1</f>
        <v/>
      </c>
      <c r="X11" s="43">
        <f>X7*0.1</f>
        <v/>
      </c>
      <c r="Y11" s="43">
        <f>Y7*0.1</f>
        <v/>
      </c>
    </row>
    <row r="12">
      <c r="A12" s="4" t="inlineStr">
        <is>
          <t>Маркетинг и реклама (фиксированный бюджет), ₽</t>
        </is>
      </c>
      <c r="B12" s="43" t="n">
        <v>0</v>
      </c>
      <c r="C12" s="58" t="n">
        <v>100000</v>
      </c>
      <c r="D12" s="58" t="n">
        <v>100000</v>
      </c>
      <c r="E12" s="58" t="n">
        <v>100000</v>
      </c>
      <c r="F12" s="58" t="n">
        <v>100000</v>
      </c>
      <c r="G12" s="58" t="n">
        <v>150000</v>
      </c>
      <c r="H12" s="58" t="n">
        <v>150000</v>
      </c>
      <c r="I12" s="58" t="n">
        <v>150000</v>
      </c>
      <c r="J12" s="58" t="n">
        <v>150000</v>
      </c>
      <c r="K12" s="58" t="n">
        <v>200000</v>
      </c>
      <c r="L12" s="58" t="n">
        <v>200000</v>
      </c>
      <c r="M12" s="58" t="n">
        <v>200000</v>
      </c>
      <c r="N12" s="58" t="n">
        <v>200000</v>
      </c>
      <c r="O12" s="58" t="n">
        <v>200000</v>
      </c>
      <c r="P12" s="58" t="n">
        <v>250000</v>
      </c>
      <c r="Q12" s="58" t="n">
        <v>250000</v>
      </c>
      <c r="R12" s="58" t="n">
        <v>250000</v>
      </c>
      <c r="S12" s="58" t="n">
        <v>250000</v>
      </c>
      <c r="T12" s="58" t="n">
        <v>250000</v>
      </c>
      <c r="U12" s="58" t="n">
        <v>250000</v>
      </c>
      <c r="V12" s="58" t="n">
        <v>300000</v>
      </c>
      <c r="W12" s="58" t="n">
        <v>300000</v>
      </c>
      <c r="X12" s="58" t="n">
        <v>300000</v>
      </c>
      <c r="Y12" s="58" t="n">
        <v>300000</v>
      </c>
    </row>
    <row r="14">
      <c r="A14" s="33" t="inlineStr">
        <is>
          <t>ИТОГО ОПЕРАЦИОННЫХ РАСХОДОВ, ₽</t>
        </is>
      </c>
      <c r="B14" s="59">
        <f>SUM(B9:B12)</f>
        <v/>
      </c>
      <c r="C14" s="59">
        <f>SUM(C9:C12)</f>
        <v/>
      </c>
      <c r="D14" s="59">
        <f>SUM(D9:D12)</f>
        <v/>
      </c>
      <c r="E14" s="59">
        <f>SUM(E9:E12)</f>
        <v/>
      </c>
      <c r="F14" s="59">
        <f>SUM(F9:F12)</f>
        <v/>
      </c>
      <c r="G14" s="59">
        <f>SUM(G9:G12)</f>
        <v/>
      </c>
      <c r="H14" s="59">
        <f>SUM(H9:H12)</f>
        <v/>
      </c>
      <c r="I14" s="59">
        <f>SUM(I9:I12)</f>
        <v/>
      </c>
      <c r="J14" s="59">
        <f>SUM(J9:J12)</f>
        <v/>
      </c>
      <c r="K14" s="59">
        <f>SUM(K9:K12)</f>
        <v/>
      </c>
      <c r="L14" s="59">
        <f>SUM(L9:L12)</f>
        <v/>
      </c>
      <c r="M14" s="59">
        <f>SUM(M9:M12)</f>
        <v/>
      </c>
      <c r="N14" s="59">
        <f>SUM(N9:N12)</f>
        <v/>
      </c>
      <c r="O14" s="59">
        <f>SUM(O9:O12)</f>
        <v/>
      </c>
      <c r="P14" s="59">
        <f>SUM(P9:P12)</f>
        <v/>
      </c>
      <c r="Q14" s="59">
        <f>SUM(Q9:Q12)</f>
        <v/>
      </c>
      <c r="R14" s="59">
        <f>SUM(R9:R12)</f>
        <v/>
      </c>
      <c r="S14" s="59">
        <f>SUM(S9:S12)</f>
        <v/>
      </c>
      <c r="T14" s="59">
        <f>SUM(T9:T12)</f>
        <v/>
      </c>
      <c r="U14" s="59">
        <f>SUM(U9:U12)</f>
        <v/>
      </c>
      <c r="V14" s="59">
        <f>SUM(V9:V12)</f>
        <v/>
      </c>
      <c r="W14" s="59">
        <f>SUM(W9:W12)</f>
        <v/>
      </c>
      <c r="X14" s="59">
        <f>SUM(X9:X12)</f>
        <v/>
      </c>
      <c r="Y14" s="59">
        <f>SUM(Y9:Y12)</f>
        <v/>
      </c>
    </row>
    <row r="16">
      <c r="A16" s="33" t="inlineStr">
        <is>
          <t>ОПЕРАЦИОННАЯ ПРИБЫЛЬ/УБЫТОК, ₽</t>
        </is>
      </c>
      <c r="B16" s="60">
        <f>B7-B14</f>
        <v/>
      </c>
      <c r="C16" s="60">
        <f>C7-C14</f>
        <v/>
      </c>
      <c r="D16" s="60">
        <f>D7-D14</f>
        <v/>
      </c>
      <c r="E16" s="60">
        <f>E7-E14</f>
        <v/>
      </c>
      <c r="F16" s="60">
        <f>F7-F14</f>
        <v/>
      </c>
      <c r="G16" s="60">
        <f>G7-G14</f>
        <v/>
      </c>
      <c r="H16" s="60">
        <f>H7-H14</f>
        <v/>
      </c>
      <c r="I16" s="60">
        <f>I7-I14</f>
        <v/>
      </c>
      <c r="J16" s="60">
        <f>J7-J14</f>
        <v/>
      </c>
      <c r="K16" s="60">
        <f>K7-K14</f>
        <v/>
      </c>
      <c r="L16" s="60">
        <f>L7-L14</f>
        <v/>
      </c>
      <c r="M16" s="60">
        <f>M7-M14</f>
        <v/>
      </c>
      <c r="N16" s="60">
        <f>N7-N14</f>
        <v/>
      </c>
      <c r="O16" s="60">
        <f>O7-O14</f>
        <v/>
      </c>
      <c r="P16" s="60">
        <f>P7-P14</f>
        <v/>
      </c>
      <c r="Q16" s="60">
        <f>Q7-Q14</f>
        <v/>
      </c>
      <c r="R16" s="60">
        <f>R7-R14</f>
        <v/>
      </c>
      <c r="S16" s="60">
        <f>S7-S14</f>
        <v/>
      </c>
      <c r="T16" s="60">
        <f>T7-T14</f>
        <v/>
      </c>
      <c r="U16" s="60">
        <f>U7-U14</f>
        <v/>
      </c>
      <c r="V16" s="60">
        <f>V7-V14</f>
        <v/>
      </c>
      <c r="W16" s="60">
        <f>W7-W14</f>
        <v/>
      </c>
      <c r="X16" s="60">
        <f>X7-X14</f>
        <v/>
      </c>
      <c r="Y16" s="60">
        <f>Y7-Y14</f>
        <v/>
      </c>
    </row>
    <row r="17">
      <c r="A17" s="33" t="inlineStr">
        <is>
          <t>Накопленные деньги на счёте (старт 30к ₽), ₽</t>
        </is>
      </c>
      <c r="B17" s="60">
        <f>30000+B16</f>
        <v/>
      </c>
      <c r="C17" s="49">
        <f>B17+C16</f>
        <v/>
      </c>
      <c r="D17" s="49">
        <f>C17+D16</f>
        <v/>
      </c>
      <c r="E17" s="49">
        <f>D17+E16</f>
        <v/>
      </c>
      <c r="F17" s="49">
        <f>E17+F16</f>
        <v/>
      </c>
      <c r="G17" s="49">
        <f>F17+G16</f>
        <v/>
      </c>
      <c r="H17" s="49">
        <f>G17+H16</f>
        <v/>
      </c>
      <c r="I17" s="49">
        <f>H17+I16</f>
        <v/>
      </c>
      <c r="J17" s="49">
        <f>I17+J16</f>
        <v/>
      </c>
      <c r="K17" s="49">
        <f>J17+K16</f>
        <v/>
      </c>
      <c r="L17" s="49">
        <f>K17+L16</f>
        <v/>
      </c>
      <c r="M17" s="49">
        <f>L17+M16</f>
        <v/>
      </c>
      <c r="N17" s="49">
        <f>M17+N16</f>
        <v/>
      </c>
      <c r="O17" s="49">
        <f>N17+O16</f>
        <v/>
      </c>
      <c r="P17" s="49">
        <f>O17+P16</f>
        <v/>
      </c>
      <c r="Q17" s="49">
        <f>P17+Q16</f>
        <v/>
      </c>
      <c r="R17" s="49">
        <f>Q17+R16</f>
        <v/>
      </c>
      <c r="S17" s="49">
        <f>R17+S16</f>
        <v/>
      </c>
      <c r="T17" s="49">
        <f>S17+T16</f>
        <v/>
      </c>
      <c r="U17" s="49">
        <f>T17+U16</f>
        <v/>
      </c>
      <c r="V17" s="49">
        <f>U17+V16</f>
        <v/>
      </c>
      <c r="W17" s="49">
        <f>V17+W16</f>
        <v/>
      </c>
      <c r="X17" s="49">
        <f>W17+X16</f>
        <v/>
      </c>
      <c r="Y17" s="49">
        <f>X17+Y16</f>
        <v/>
      </c>
    </row>
    <row r="20">
      <c r="A20" s="3" t="inlineStr">
        <is>
          <t>ИТОГИ</t>
        </is>
      </c>
    </row>
    <row r="21">
      <c r="A21" s="4" t="inlineStr">
        <is>
          <t>Выручка/мес на M24, ₽</t>
        </is>
      </c>
      <c r="B21" s="53">
        <f>Y7</f>
        <v/>
      </c>
    </row>
    <row r="22">
      <c r="A22" s="4" t="inlineStr">
        <is>
          <t>Выручка/год на M24, ₽</t>
        </is>
      </c>
      <c r="B22" s="53">
        <f>Y7*12</f>
        <v/>
      </c>
    </row>
    <row r="23">
      <c r="A23" s="4" t="inlineStr">
        <is>
          <t>Деньги на счёте на M24, ₽</t>
        </is>
      </c>
      <c r="B23" s="53">
        <f>Y17</f>
        <v/>
      </c>
    </row>
    <row r="24">
      <c r="A24" s="4" t="inlineStr">
        <is>
          <t>Самый большой минус по деньгам, ₽</t>
        </is>
      </c>
      <c r="B24" s="59">
        <f>MIN(B17:Y17)</f>
        <v/>
      </c>
    </row>
    <row r="25">
      <c r="A25" s="4" t="inlineStr">
        <is>
          <t>Платящих клиентов на M24</t>
        </is>
      </c>
      <c r="B25" s="52">
        <f>Y5</f>
        <v/>
      </c>
    </row>
    <row r="26">
      <c r="A26" s="4" t="inlineStr">
        <is>
          <t>Месяц первой прибыли</t>
        </is>
      </c>
      <c r="B26" s="2" t="inlineStr">
        <is>
          <t>M7 (с новой структурой 30/30/10/30)</t>
        </is>
      </c>
    </row>
    <row r="27">
      <c r="A27" s="4" t="inlineStr">
        <is>
          <t>Месяц возврата вложений (счёт &gt; 0)</t>
        </is>
      </c>
      <c r="B27" s="2" t="inlineStr">
        <is>
          <t>M9</t>
        </is>
      </c>
    </row>
    <row r="28">
      <c r="A28" s="4" t="inlineStr">
        <is>
          <t>Маркетинг суммарно за 24 мес, ₽</t>
        </is>
      </c>
      <c r="B28" s="61">
        <f>SUM(B12:Y12)</f>
        <v/>
      </c>
    </row>
    <row r="29">
      <c r="A29" s="4" t="inlineStr">
        <is>
          <t>Зарплаты суммарно за 24 мес, ₽</t>
        </is>
      </c>
      <c r="B29" s="61">
        <f>SUM(B9:Y9)</f>
        <v/>
      </c>
    </row>
    <row r="30">
      <c r="A30" s="4" t="inlineStr">
        <is>
          <t>Токены+инфра суммарно за 24 мес, ₽</t>
        </is>
      </c>
      <c r="B30" s="61">
        <f>SUM(B10:Y10)</f>
        <v/>
      </c>
    </row>
    <row r="31">
      <c r="A31" s="4" t="inlineStr">
        <is>
          <t>Бэкофис суммарно за 24 мес, ₽</t>
        </is>
      </c>
      <c r="B31" s="61">
        <f>SUM(B11:Y11)</f>
        <v/>
      </c>
    </row>
    <row r="33">
      <c r="A33" s="3" t="inlineStr">
        <is>
          <t>Структура: 30% зарплаты / 30% токены+инфра / 10% бэкофис / 30% операц.доход (до маркетинга)</t>
        </is>
      </c>
    </row>
    <row r="35">
      <c r="A35" s="4" t="inlineStr">
        <is>
          <t>Платящих клиентов на M24</t>
        </is>
      </c>
      <c r="B35" s="62" t="inlineStr">
        <is>
          <t>6 250</t>
        </is>
      </c>
      <c r="C35" s="63" t="inlineStr">
        <is>
          <t>По плану</t>
        </is>
      </c>
      <c r="D35" s="4" t="inlineStr">
        <is>
          <t>—</t>
        </is>
      </c>
    </row>
    <row r="36">
      <c r="A36" s="4" t="inlineStr">
        <is>
          <t>Месяц первой прибыли</t>
        </is>
      </c>
      <c r="B36" s="62" t="inlineStr">
        <is>
          <t>M7</t>
        </is>
      </c>
      <c r="C36" s="63" t="inlineStr">
        <is>
          <t>M6 (старая модель)</t>
        </is>
      </c>
      <c r="D36" s="4" t="inlineStr">
        <is>
          <t>+1 мес позже</t>
        </is>
      </c>
    </row>
    <row r="37">
      <c r="A37" s="4" t="inlineStr">
        <is>
          <t>Месяц возврата вложений</t>
        </is>
      </c>
      <c r="B37" s="62" t="inlineStr">
        <is>
          <t>M9</t>
        </is>
      </c>
      <c r="C37" s="63" t="inlineStr">
        <is>
          <t>M8</t>
        </is>
      </c>
      <c r="D37" s="4" t="inlineStr">
        <is>
          <t>+1 мес позже</t>
        </is>
      </c>
    </row>
    <row r="38">
      <c r="A38" s="4" t="inlineStr">
        <is>
          <t>Самый большой минус</t>
        </is>
      </c>
      <c r="B38" s="62" t="inlineStr">
        <is>
          <t>~−380 К ₽</t>
        </is>
      </c>
      <c r="C38" s="63" t="inlineStr">
        <is>
          <t>~−305 К</t>
        </is>
      </c>
      <c r="D38" s="4" t="inlineStr">
        <is>
          <t>−25%</t>
        </is>
      </c>
    </row>
    <row r="39">
      <c r="A39" s="4" t="inlineStr">
        <is>
          <t>Накопленные деньги на M24</t>
        </is>
      </c>
      <c r="B39" s="62" t="inlineStr">
        <is>
          <t>~+60 М ₽</t>
        </is>
      </c>
      <c r="C39" s="63" t="inlineStr">
        <is>
          <t>~+67 М (старая)</t>
        </is>
      </c>
      <c r="D39" s="4" t="inlineStr">
        <is>
          <t>−7 М</t>
        </is>
      </c>
    </row>
    <row r="40">
      <c r="A40" s="4" t="inlineStr">
        <is>
          <t>Почему стало хуже?</t>
        </is>
      </c>
      <c r="B40" s="62" t="inlineStr">
        <is>
          <t>Зарплаты 30% + замедл. разгон M2-M6</t>
        </is>
      </c>
      <c r="C40" s="63" t="inlineStr">
        <is>
          <t>В старой founders=0</t>
        </is>
      </c>
      <c r="D40" s="4" t="inlineStr">
        <is>
          <t>—</t>
        </is>
      </c>
    </row>
    <row r="41">
      <c r="A41" s="4" t="inlineStr">
        <is>
          <t>Что лучше?</t>
        </is>
      </c>
      <c r="B41" s="62" t="inlineStr">
        <is>
          <t>Каждый рубль роста = +30к в команду</t>
        </is>
      </c>
      <c r="C41" s="63" t="inlineStr">
        <is>
          <t>—</t>
        </is>
      </c>
      <c r="D41" s="4" t="inlineStr">
        <is>
          <t>Запас прочности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Семантическое ядро · 63 ЧИСТЫХ запроса · Wordstat 2026</t>
        </is>
      </c>
    </row>
    <row r="2" ht="32" customHeight="1">
      <c r="A2" s="2" t="inlineStr">
        <is>
          <t>Только запросы с явным buying intent: vertical / AI-specific / pain-driven / research. Грязные (бренд+generic+freebie) исключены — экономят бюджет в 2-3× через downstream conversion.</t>
        </is>
      </c>
    </row>
    <row r="4" ht="36" customHeight="1">
      <c r="A4" s="8" t="inlineStr">
        <is>
          <t>#</t>
        </is>
      </c>
      <c r="B4" s="8" t="inlineStr">
        <is>
          <t>Запрос</t>
        </is>
      </c>
      <c r="C4" s="8" t="inlineStr">
        <is>
          <t>Категория</t>
        </is>
      </c>
      <c r="D4" s="8" t="inlineStr">
        <is>
          <t>Показов/мес 2026</t>
        </is>
      </c>
      <c r="E4" s="8" t="inlineStr">
        <is>
          <t>Цена клика ₽ 2026</t>
        </is>
      </c>
      <c r="F4" s="8" t="inlineStr">
        <is>
          <t>Ценность 1-5</t>
        </is>
      </c>
    </row>
    <row r="5">
      <c r="A5" s="4" t="n">
        <v>1</v>
      </c>
      <c r="B5" s="4" t="inlineStr">
        <is>
          <t>сайт под ключ</t>
        </is>
      </c>
      <c r="C5" s="4" t="inlineStr">
        <is>
          <t>A. Прямой intent</t>
        </is>
      </c>
      <c r="D5" s="56" t="n">
        <v>18000</v>
      </c>
      <c r="E5" s="57" t="n">
        <v>135</v>
      </c>
      <c r="F5" s="64" t="n">
        <v>4</v>
      </c>
    </row>
    <row r="6">
      <c r="A6" s="4" t="n">
        <v>2</v>
      </c>
      <c r="B6" s="4" t="inlineStr">
        <is>
          <t>лендинг создать</t>
        </is>
      </c>
      <c r="C6" s="4" t="inlineStr">
        <is>
          <t>A. Прямой intent</t>
        </is>
      </c>
      <c r="D6" s="56" t="n">
        <v>15000</v>
      </c>
      <c r="E6" s="57" t="n">
        <v>120</v>
      </c>
      <c r="F6" s="64" t="n">
        <v>4</v>
      </c>
    </row>
    <row r="7">
      <c r="A7" s="4" t="n">
        <v>3</v>
      </c>
      <c r="B7" s="4" t="inlineStr">
        <is>
          <t>сайт самостоятельно</t>
        </is>
      </c>
      <c r="C7" s="4" t="inlineStr">
        <is>
          <t>A. Прямой intent</t>
        </is>
      </c>
      <c r="D7" s="56" t="n">
        <v>8000</v>
      </c>
      <c r="E7" s="57" t="n">
        <v>80</v>
      </c>
      <c r="F7" s="64" t="n">
        <v>4</v>
      </c>
    </row>
    <row r="8">
      <c r="A8" s="4" t="n">
        <v>4</v>
      </c>
      <c r="B8" s="4" t="inlineStr">
        <is>
          <t>одностраничный сайт</t>
        </is>
      </c>
      <c r="C8" s="4" t="inlineStr">
        <is>
          <t>A. Прямой intent</t>
        </is>
      </c>
      <c r="D8" s="56" t="n">
        <v>5000</v>
      </c>
      <c r="E8" s="57" t="n">
        <v>90</v>
      </c>
      <c r="F8" s="64" t="n">
        <v>4</v>
      </c>
    </row>
    <row r="9">
      <c r="A9" s="4" t="n">
        <v>5</v>
      </c>
      <c r="B9" s="4" t="inlineStr">
        <is>
          <t>сайт без программиста</t>
        </is>
      </c>
      <c r="C9" s="4" t="inlineStr">
        <is>
          <t>A. Прямой intent</t>
        </is>
      </c>
      <c r="D9" s="56" t="n">
        <v>1500</v>
      </c>
      <c r="E9" s="57" t="n">
        <v>65</v>
      </c>
      <c r="F9" s="64" t="n">
        <v>5</v>
      </c>
    </row>
    <row r="10">
      <c r="A10" s="4" t="n">
        <v>6</v>
      </c>
      <c r="B10" s="4" t="inlineStr">
        <is>
          <t>нейросеть сайт</t>
        </is>
      </c>
      <c r="C10" s="4" t="inlineStr">
        <is>
          <t>B. AI ★</t>
        </is>
      </c>
      <c r="D10" s="56" t="n">
        <v>4500</v>
      </c>
      <c r="E10" s="57" t="n">
        <v>85</v>
      </c>
      <c r="F10" s="64" t="n">
        <v>5</v>
      </c>
    </row>
    <row r="11">
      <c r="A11" s="4" t="n">
        <v>7</v>
      </c>
      <c r="B11" s="4" t="inlineStr">
        <is>
          <t>ai сайт</t>
        </is>
      </c>
      <c r="C11" s="4" t="inlineStr">
        <is>
          <t>B. AI ★</t>
        </is>
      </c>
      <c r="D11" s="56" t="n">
        <v>2800</v>
      </c>
      <c r="E11" s="57" t="n">
        <v>90</v>
      </c>
      <c r="F11" s="64" t="n">
        <v>5</v>
      </c>
    </row>
    <row r="12">
      <c r="A12" s="4" t="n">
        <v>8</v>
      </c>
      <c r="B12" s="4" t="inlineStr">
        <is>
          <t>нейросеть создать сайт</t>
        </is>
      </c>
      <c r="C12" s="4" t="inlineStr">
        <is>
          <t>B. AI ★</t>
        </is>
      </c>
      <c r="D12" s="56" t="n">
        <v>2200</v>
      </c>
      <c r="E12" s="57" t="n">
        <v>80</v>
      </c>
      <c r="F12" s="64" t="n">
        <v>5</v>
      </c>
    </row>
    <row r="13">
      <c r="A13" s="4" t="n">
        <v>9</v>
      </c>
      <c r="B13" s="4" t="inlineStr">
        <is>
          <t>сайт через chatgpt</t>
        </is>
      </c>
      <c r="C13" s="4" t="inlineStr">
        <is>
          <t>B. AI ★</t>
        </is>
      </c>
      <c r="D13" s="56" t="n">
        <v>1500</v>
      </c>
      <c r="E13" s="57" t="n">
        <v>75</v>
      </c>
      <c r="F13" s="64" t="n">
        <v>4</v>
      </c>
    </row>
    <row r="14">
      <c r="A14" s="4" t="n">
        <v>10</v>
      </c>
      <c r="B14" s="4" t="inlineStr">
        <is>
          <t>искусственный интеллект сайт</t>
        </is>
      </c>
      <c r="C14" s="4" t="inlineStr">
        <is>
          <t>B. AI ★</t>
        </is>
      </c>
      <c r="D14" s="56" t="n">
        <v>1400</v>
      </c>
      <c r="E14" s="57" t="n">
        <v>80</v>
      </c>
      <c r="F14" s="64" t="n">
        <v>4</v>
      </c>
    </row>
    <row r="15">
      <c r="A15" s="4" t="n">
        <v>11</v>
      </c>
      <c r="B15" s="4" t="inlineStr">
        <is>
          <t>сделать сайт нейросетью</t>
        </is>
      </c>
      <c r="C15" s="4" t="inlineStr">
        <is>
          <t>B. AI ★</t>
        </is>
      </c>
      <c r="D15" s="56" t="n">
        <v>1300</v>
      </c>
      <c r="E15" s="57" t="n">
        <v>80</v>
      </c>
      <c r="F15" s="64" t="n">
        <v>5</v>
      </c>
    </row>
    <row r="16">
      <c r="A16" s="4" t="n">
        <v>12</v>
      </c>
      <c r="B16" s="4" t="inlineStr">
        <is>
          <t>ai конструктор сайтов</t>
        </is>
      </c>
      <c r="C16" s="4" t="inlineStr">
        <is>
          <t>B. AI ★</t>
        </is>
      </c>
      <c r="D16" s="56" t="n">
        <v>1200</v>
      </c>
      <c r="E16" s="57" t="n">
        <v>95</v>
      </c>
      <c r="F16" s="64" t="n">
        <v>5</v>
      </c>
    </row>
    <row r="17">
      <c r="A17" s="4" t="n">
        <v>13</v>
      </c>
      <c r="B17" s="4" t="inlineStr">
        <is>
          <t>сайт с помощью ai</t>
        </is>
      </c>
      <c r="C17" s="4" t="inlineStr">
        <is>
          <t>B. AI ★</t>
        </is>
      </c>
      <c r="D17" s="56" t="n">
        <v>950</v>
      </c>
      <c r="E17" s="57" t="n">
        <v>85</v>
      </c>
      <c r="F17" s="64" t="n">
        <v>5</v>
      </c>
    </row>
    <row r="18">
      <c r="A18" s="4" t="n">
        <v>14</v>
      </c>
      <c r="B18" s="4" t="inlineStr">
        <is>
          <t>генератор сайтов ai</t>
        </is>
      </c>
      <c r="C18" s="4" t="inlineStr">
        <is>
          <t>B. AI ★</t>
        </is>
      </c>
      <c r="D18" s="56" t="n">
        <v>800</v>
      </c>
      <c r="E18" s="57" t="n">
        <v>95</v>
      </c>
      <c r="F18" s="64" t="n">
        <v>5</v>
      </c>
    </row>
    <row r="19">
      <c r="A19" s="4" t="n">
        <v>15</v>
      </c>
      <c r="B19" s="4" t="inlineStr">
        <is>
          <t>wix или tilda</t>
        </is>
      </c>
      <c r="C19" s="4" t="inlineStr">
        <is>
          <t>C. Research</t>
        </is>
      </c>
      <c r="D19" s="56" t="n">
        <v>1500</v>
      </c>
      <c r="E19" s="57" t="n">
        <v>65</v>
      </c>
      <c r="F19" s="64" t="n">
        <v>5</v>
      </c>
    </row>
    <row r="20">
      <c r="A20" s="4" t="n">
        <v>16</v>
      </c>
      <c r="B20" s="4" t="inlineStr">
        <is>
          <t>tilda аналог</t>
        </is>
      </c>
      <c r="C20" s="4" t="inlineStr">
        <is>
          <t>C. Research</t>
        </is>
      </c>
      <c r="D20" s="56" t="n">
        <v>1100</v>
      </c>
      <c r="E20" s="57" t="n">
        <v>75</v>
      </c>
      <c r="F20" s="64" t="n">
        <v>5</v>
      </c>
    </row>
    <row r="21">
      <c r="A21" s="4" t="n">
        <v>17</v>
      </c>
      <c r="B21" s="4" t="inlineStr">
        <is>
          <t>конструктор сайтов сравнение</t>
        </is>
      </c>
      <c r="C21" s="4" t="inlineStr">
        <is>
          <t>C. Research</t>
        </is>
      </c>
      <c r="D21" s="56" t="n">
        <v>800</v>
      </c>
      <c r="E21" s="57" t="n">
        <v>80</v>
      </c>
      <c r="F21" s="64" t="n">
        <v>4</v>
      </c>
    </row>
    <row r="22">
      <c r="A22" s="4" t="n">
        <v>18</v>
      </c>
      <c r="B22" s="4" t="inlineStr">
        <is>
          <t>замена tilda</t>
        </is>
      </c>
      <c r="C22" s="4" t="inlineStr">
        <is>
          <t>C. Research</t>
        </is>
      </c>
      <c r="D22" s="56" t="n">
        <v>600</v>
      </c>
      <c r="E22" s="57" t="n">
        <v>70</v>
      </c>
      <c r="F22" s="64" t="n">
        <v>5</v>
      </c>
    </row>
    <row r="23">
      <c r="A23" s="4" t="n">
        <v>19</v>
      </c>
      <c r="B23" s="4" t="inlineStr">
        <is>
          <t>доставка еды сайт</t>
        </is>
      </c>
      <c r="C23" s="4" t="inlineStr">
        <is>
          <t>D. Кафе</t>
        </is>
      </c>
      <c r="D23" s="56" t="n">
        <v>4500</v>
      </c>
      <c r="E23" s="57" t="n">
        <v>95</v>
      </c>
      <c r="F23" s="64" t="n">
        <v>4</v>
      </c>
    </row>
    <row r="24">
      <c r="A24" s="4" t="n">
        <v>20</v>
      </c>
      <c r="B24" s="4" t="inlineStr">
        <is>
          <t>сайт ресторана</t>
        </is>
      </c>
      <c r="C24" s="4" t="inlineStr">
        <is>
          <t>D. Кафе</t>
        </is>
      </c>
      <c r="D24" s="56" t="n">
        <v>3000</v>
      </c>
      <c r="E24" s="57" t="n">
        <v>85</v>
      </c>
      <c r="F24" s="64" t="n">
        <v>5</v>
      </c>
    </row>
    <row r="25">
      <c r="A25" s="4" t="n">
        <v>21</v>
      </c>
      <c r="B25" s="4" t="inlineStr">
        <is>
          <t>сайт для кафе</t>
        </is>
      </c>
      <c r="C25" s="4" t="inlineStr">
        <is>
          <t>D. Кафе</t>
        </is>
      </c>
      <c r="D25" s="56" t="n">
        <v>2500</v>
      </c>
      <c r="E25" s="57" t="n">
        <v>75</v>
      </c>
      <c r="F25" s="64" t="n">
        <v>5</v>
      </c>
    </row>
    <row r="26">
      <c r="A26" s="4" t="n">
        <v>22</v>
      </c>
      <c r="B26" s="4" t="inlineStr">
        <is>
          <t>сайт кофейни</t>
        </is>
      </c>
      <c r="C26" s="4" t="inlineStr">
        <is>
          <t>D. Кафе</t>
        </is>
      </c>
      <c r="D26" s="56" t="n">
        <v>800</v>
      </c>
      <c r="E26" s="57" t="n">
        <v>70</v>
      </c>
      <c r="F26" s="64" t="n">
        <v>5</v>
      </c>
    </row>
    <row r="27">
      <c r="A27" s="4" t="n">
        <v>23</v>
      </c>
      <c r="B27" s="4" t="inlineStr">
        <is>
          <t>сайт для бара</t>
        </is>
      </c>
      <c r="C27" s="4" t="inlineStr">
        <is>
          <t>D. Кафе</t>
        </is>
      </c>
      <c r="D27" s="56" t="n">
        <v>600</v>
      </c>
      <c r="E27" s="57" t="n">
        <v>70</v>
      </c>
      <c r="F27" s="64" t="n">
        <v>4</v>
      </c>
    </row>
    <row r="28">
      <c r="A28" s="4" t="n">
        <v>24</v>
      </c>
      <c r="B28" s="4" t="inlineStr">
        <is>
          <t>сайт пиццерии</t>
        </is>
      </c>
      <c r="C28" s="4" t="inlineStr">
        <is>
          <t>D. Кафе</t>
        </is>
      </c>
      <c r="D28" s="56" t="n">
        <v>500</v>
      </c>
      <c r="E28" s="57" t="n">
        <v>75</v>
      </c>
      <c r="F28" s="64" t="n">
        <v>5</v>
      </c>
    </row>
    <row r="29">
      <c r="A29" s="4" t="n">
        <v>25</v>
      </c>
      <c r="B29" s="4" t="inlineStr">
        <is>
          <t>создать интернет магазин</t>
        </is>
      </c>
      <c r="C29" s="4" t="inlineStr">
        <is>
          <t>E. Магазин</t>
        </is>
      </c>
      <c r="D29" s="56" t="n">
        <v>12000</v>
      </c>
      <c r="E29" s="57" t="n">
        <v>165</v>
      </c>
      <c r="F29" s="64" t="n">
        <v>4</v>
      </c>
    </row>
    <row r="30">
      <c r="A30" s="4" t="n">
        <v>26</v>
      </c>
      <c r="B30" s="4" t="inlineStr">
        <is>
          <t>интернет магазин с нуля</t>
        </is>
      </c>
      <c r="C30" s="4" t="inlineStr">
        <is>
          <t>E. Магазин</t>
        </is>
      </c>
      <c r="D30" s="56" t="n">
        <v>3500</v>
      </c>
      <c r="E30" s="57" t="n">
        <v>130</v>
      </c>
      <c r="F30" s="64" t="n">
        <v>4</v>
      </c>
    </row>
    <row r="31">
      <c r="A31" s="4" t="n">
        <v>27</v>
      </c>
      <c r="B31" s="4" t="inlineStr">
        <is>
          <t>интернет магазин под ключ</t>
        </is>
      </c>
      <c r="C31" s="4" t="inlineStr">
        <is>
          <t>E. Магазин</t>
        </is>
      </c>
      <c r="D31" s="56" t="n">
        <v>2500</v>
      </c>
      <c r="E31" s="57" t="n">
        <v>145</v>
      </c>
      <c r="F31" s="64" t="n">
        <v>4</v>
      </c>
    </row>
    <row r="32">
      <c r="A32" s="4" t="n">
        <v>28</v>
      </c>
      <c r="B32" s="4" t="inlineStr">
        <is>
          <t>магазин одежды сайт</t>
        </is>
      </c>
      <c r="C32" s="4" t="inlineStr">
        <is>
          <t>E. Магазин</t>
        </is>
      </c>
      <c r="D32" s="56" t="n">
        <v>2000</v>
      </c>
      <c r="E32" s="57" t="n">
        <v>95</v>
      </c>
      <c r="F32" s="64" t="n">
        <v>4</v>
      </c>
    </row>
    <row r="33">
      <c r="A33" s="4" t="n">
        <v>29</v>
      </c>
      <c r="B33" s="4" t="inlineStr">
        <is>
          <t>сайт цветочного магазина</t>
        </is>
      </c>
      <c r="C33" s="4" t="inlineStr">
        <is>
          <t>E. Магазин</t>
        </is>
      </c>
      <c r="D33" s="56" t="n">
        <v>600</v>
      </c>
      <c r="E33" s="57" t="n">
        <v>70</v>
      </c>
      <c r="F33" s="64" t="n">
        <v>5</v>
      </c>
    </row>
    <row r="34">
      <c r="A34" s="4" t="n">
        <v>30</v>
      </c>
      <c r="B34" s="4" t="inlineStr">
        <is>
          <t>сайт юриста</t>
        </is>
      </c>
      <c r="C34" s="4" t="inlineStr">
        <is>
          <t>F. Юрист</t>
        </is>
      </c>
      <c r="D34" s="56" t="n">
        <v>2000</v>
      </c>
      <c r="E34" s="57" t="n">
        <v>105</v>
      </c>
      <c r="F34" s="64" t="n">
        <v>5</v>
      </c>
    </row>
    <row r="35">
      <c r="A35" s="4" t="n">
        <v>31</v>
      </c>
      <c r="B35" s="4" t="inlineStr">
        <is>
          <t>сайт адвоката</t>
        </is>
      </c>
      <c r="C35" s="4" t="inlineStr">
        <is>
          <t>F. Юрист</t>
        </is>
      </c>
      <c r="D35" s="56" t="n">
        <v>1500</v>
      </c>
      <c r="E35" s="57" t="n">
        <v>105</v>
      </c>
      <c r="F35" s="64" t="n">
        <v>5</v>
      </c>
    </row>
    <row r="36">
      <c r="A36" s="4" t="n">
        <v>32</v>
      </c>
      <c r="B36" s="4" t="inlineStr">
        <is>
          <t>сайт юридической компании</t>
        </is>
      </c>
      <c r="C36" s="4" t="inlineStr">
        <is>
          <t>F. Юрист</t>
        </is>
      </c>
      <c r="D36" s="56" t="n">
        <v>800</v>
      </c>
      <c r="E36" s="57" t="n">
        <v>125</v>
      </c>
      <c r="F36" s="64" t="n">
        <v>5</v>
      </c>
    </row>
    <row r="37">
      <c r="A37" s="4" t="n">
        <v>33</v>
      </c>
      <c r="B37" s="4" t="inlineStr">
        <is>
          <t>сайт нотариуса</t>
        </is>
      </c>
      <c r="C37" s="4" t="inlineStr">
        <is>
          <t>F. Юрист</t>
        </is>
      </c>
      <c r="D37" s="56" t="n">
        <v>600</v>
      </c>
      <c r="E37" s="57" t="n">
        <v>90</v>
      </c>
      <c r="F37" s="64" t="n">
        <v>5</v>
      </c>
    </row>
    <row r="38">
      <c r="A38" s="4" t="n">
        <v>34</v>
      </c>
      <c r="B38" s="4" t="inlineStr">
        <is>
          <t>сайт визитка юристу</t>
        </is>
      </c>
      <c r="C38" s="4" t="inlineStr">
        <is>
          <t>F. Юрист</t>
        </is>
      </c>
      <c r="D38" s="56" t="n">
        <v>400</v>
      </c>
      <c r="E38" s="57" t="n">
        <v>85</v>
      </c>
      <c r="F38" s="64" t="n">
        <v>5</v>
      </c>
    </row>
    <row r="39">
      <c r="A39" s="4" t="n">
        <v>35</v>
      </c>
      <c r="B39" s="4" t="inlineStr">
        <is>
          <t>сайт салона красоты</t>
        </is>
      </c>
      <c r="C39" s="4" t="inlineStr">
        <is>
          <t>G. Красота</t>
        </is>
      </c>
      <c r="D39" s="56" t="n">
        <v>2500</v>
      </c>
      <c r="E39" s="57" t="n">
        <v>85</v>
      </c>
      <c r="F39" s="64" t="n">
        <v>5</v>
      </c>
    </row>
    <row r="40">
      <c r="A40" s="4" t="n">
        <v>36</v>
      </c>
      <c r="B40" s="4" t="inlineStr">
        <is>
          <t>сайт мастера маникюра</t>
        </is>
      </c>
      <c r="C40" s="4" t="inlineStr">
        <is>
          <t>G. Красота</t>
        </is>
      </c>
      <c r="D40" s="56" t="n">
        <v>1800</v>
      </c>
      <c r="E40" s="57" t="n">
        <v>75</v>
      </c>
      <c r="F40" s="64" t="n">
        <v>5</v>
      </c>
    </row>
    <row r="41">
      <c r="A41" s="4" t="n">
        <v>37</v>
      </c>
      <c r="B41" s="4" t="inlineStr">
        <is>
          <t>сайт косметолога</t>
        </is>
      </c>
      <c r="C41" s="4" t="inlineStr">
        <is>
          <t>G. Красота</t>
        </is>
      </c>
      <c r="D41" s="56" t="n">
        <v>1500</v>
      </c>
      <c r="E41" s="57" t="n">
        <v>95</v>
      </c>
      <c r="F41" s="64" t="n">
        <v>5</v>
      </c>
    </row>
    <row r="42">
      <c r="A42" s="4" t="n">
        <v>38</v>
      </c>
      <c r="B42" s="4" t="inlineStr">
        <is>
          <t>сайт парикмахерской</t>
        </is>
      </c>
      <c r="C42" s="4" t="inlineStr">
        <is>
          <t>G. Красота</t>
        </is>
      </c>
      <c r="D42" s="56" t="n">
        <v>1200</v>
      </c>
      <c r="E42" s="57" t="n">
        <v>65</v>
      </c>
      <c r="F42" s="64" t="n">
        <v>5</v>
      </c>
    </row>
    <row r="43">
      <c r="A43" s="4" t="n">
        <v>39</v>
      </c>
      <c r="B43" s="4" t="inlineStr">
        <is>
          <t>сайт барбершопа</t>
        </is>
      </c>
      <c r="C43" s="4" t="inlineStr">
        <is>
          <t>G. Красота</t>
        </is>
      </c>
      <c r="D43" s="56" t="n">
        <v>800</v>
      </c>
      <c r="E43" s="57" t="n">
        <v>70</v>
      </c>
      <c r="F43" s="64" t="n">
        <v>5</v>
      </c>
    </row>
    <row r="44">
      <c r="A44" s="4" t="n">
        <v>40</v>
      </c>
      <c r="B44" s="4" t="inlineStr">
        <is>
          <t>сайт клиники</t>
        </is>
      </c>
      <c r="C44" s="4" t="inlineStr">
        <is>
          <t>H. Медицина</t>
        </is>
      </c>
      <c r="D44" s="56" t="n">
        <v>2000</v>
      </c>
      <c r="E44" s="57" t="n">
        <v>145</v>
      </c>
      <c r="F44" s="64" t="n">
        <v>4</v>
      </c>
    </row>
    <row r="45">
      <c r="A45" s="4" t="n">
        <v>41</v>
      </c>
      <c r="B45" s="4" t="inlineStr">
        <is>
          <t>сайт врача</t>
        </is>
      </c>
      <c r="C45" s="4" t="inlineStr">
        <is>
          <t>H. Медицина</t>
        </is>
      </c>
      <c r="D45" s="56" t="n">
        <v>1800</v>
      </c>
      <c r="E45" s="57" t="n">
        <v>95</v>
      </c>
      <c r="F45" s="64" t="n">
        <v>5</v>
      </c>
    </row>
    <row r="46">
      <c r="A46" s="4" t="n">
        <v>42</v>
      </c>
      <c r="B46" s="4" t="inlineStr">
        <is>
          <t>сайт стоматологии</t>
        </is>
      </c>
      <c r="C46" s="4" t="inlineStr">
        <is>
          <t>H. Медицина</t>
        </is>
      </c>
      <c r="D46" s="56" t="n">
        <v>1500</v>
      </c>
      <c r="E46" s="57" t="n">
        <v>130</v>
      </c>
      <c r="F46" s="64" t="n">
        <v>5</v>
      </c>
    </row>
    <row r="47">
      <c r="A47" s="4" t="n">
        <v>43</v>
      </c>
      <c r="B47" s="4" t="inlineStr">
        <is>
          <t>сайт медцентра</t>
        </is>
      </c>
      <c r="C47" s="4" t="inlineStr">
        <is>
          <t>H. Медицина</t>
        </is>
      </c>
      <c r="D47" s="56" t="n">
        <v>1200</v>
      </c>
      <c r="E47" s="57" t="n">
        <v>145</v>
      </c>
      <c r="F47" s="64" t="n">
        <v>4</v>
      </c>
    </row>
    <row r="48">
      <c r="A48" s="4" t="n">
        <v>44</v>
      </c>
      <c r="B48" s="4" t="inlineStr">
        <is>
          <t>сайт ветклиники</t>
        </is>
      </c>
      <c r="C48" s="4" t="inlineStr">
        <is>
          <t>H. Медицина</t>
        </is>
      </c>
      <c r="D48" s="56" t="n">
        <v>800</v>
      </c>
      <c r="E48" s="57" t="n">
        <v>105</v>
      </c>
      <c r="F48" s="64" t="n">
        <v>5</v>
      </c>
    </row>
    <row r="49">
      <c r="A49" s="4" t="n">
        <v>45</v>
      </c>
      <c r="B49" s="4" t="inlineStr">
        <is>
          <t>сайт автосервиса</t>
        </is>
      </c>
      <c r="C49" s="4" t="inlineStr">
        <is>
          <t>I. Авто</t>
        </is>
      </c>
      <c r="D49" s="56" t="n">
        <v>1200</v>
      </c>
      <c r="E49" s="57" t="n">
        <v>85</v>
      </c>
      <c r="F49" s="64" t="n">
        <v>5</v>
      </c>
    </row>
    <row r="50">
      <c r="A50" s="4" t="n">
        <v>46</v>
      </c>
      <c r="B50" s="4" t="inlineStr">
        <is>
          <t>сайт автосалона</t>
        </is>
      </c>
      <c r="C50" s="4" t="inlineStr">
        <is>
          <t>I. Авто</t>
        </is>
      </c>
      <c r="D50" s="56" t="n">
        <v>800</v>
      </c>
      <c r="E50" s="57" t="n">
        <v>115</v>
      </c>
      <c r="F50" s="64" t="n">
        <v>4</v>
      </c>
    </row>
    <row r="51">
      <c r="A51" s="4" t="n">
        <v>47</v>
      </c>
      <c r="B51" s="4" t="inlineStr">
        <is>
          <t>сайт шиномонтажа</t>
        </is>
      </c>
      <c r="C51" s="4" t="inlineStr">
        <is>
          <t>I. Авто</t>
        </is>
      </c>
      <c r="D51" s="56" t="n">
        <v>600</v>
      </c>
      <c r="E51" s="57" t="n">
        <v>65</v>
      </c>
      <c r="F51" s="64" t="n">
        <v>5</v>
      </c>
    </row>
    <row r="52">
      <c r="A52" s="4" t="n">
        <v>48</v>
      </c>
      <c r="B52" s="4" t="inlineStr">
        <is>
          <t>сайт детейлинга</t>
        </is>
      </c>
      <c r="C52" s="4" t="inlineStr">
        <is>
          <t>I. Авто</t>
        </is>
      </c>
      <c r="D52" s="56" t="n">
        <v>500</v>
      </c>
      <c r="E52" s="57" t="n">
        <v>75</v>
      </c>
      <c r="F52" s="64" t="n">
        <v>5</v>
      </c>
    </row>
    <row r="53">
      <c r="A53" s="4" t="n">
        <v>49</v>
      </c>
      <c r="B53" s="4" t="inlineStr">
        <is>
          <t>сайт агентства недвижимости</t>
        </is>
      </c>
      <c r="C53" s="4" t="inlineStr">
        <is>
          <t>J. Недв</t>
        </is>
      </c>
      <c r="D53" s="56" t="n">
        <v>1500</v>
      </c>
      <c r="E53" s="57" t="n">
        <v>125</v>
      </c>
      <c r="F53" s="64" t="n">
        <v>4</v>
      </c>
    </row>
    <row r="54">
      <c r="A54" s="4" t="n">
        <v>50</v>
      </c>
      <c r="B54" s="4" t="inlineStr">
        <is>
          <t>сайт риэлтора</t>
        </is>
      </c>
      <c r="C54" s="4" t="inlineStr">
        <is>
          <t>J. Недв</t>
        </is>
      </c>
      <c r="D54" s="56" t="n">
        <v>1200</v>
      </c>
      <c r="E54" s="57" t="n">
        <v>95</v>
      </c>
      <c r="F54" s="64" t="n">
        <v>5</v>
      </c>
    </row>
    <row r="55">
      <c r="A55" s="4" t="n">
        <v>51</v>
      </c>
      <c r="B55" s="4" t="inlineStr">
        <is>
          <t>сайт жк</t>
        </is>
      </c>
      <c r="C55" s="4" t="inlineStr">
        <is>
          <t>J. Недв</t>
        </is>
      </c>
      <c r="D55" s="56" t="n">
        <v>800</v>
      </c>
      <c r="E55" s="57" t="n">
        <v>175</v>
      </c>
      <c r="F55" s="65" t="n">
        <v>3</v>
      </c>
    </row>
    <row r="56">
      <c r="A56" s="4" t="n">
        <v>52</v>
      </c>
      <c r="B56" s="4" t="inlineStr">
        <is>
          <t>сайт застройщика</t>
        </is>
      </c>
      <c r="C56" s="4" t="inlineStr">
        <is>
          <t>J. Недв</t>
        </is>
      </c>
      <c r="D56" s="56" t="n">
        <v>600</v>
      </c>
      <c r="E56" s="57" t="n">
        <v>145</v>
      </c>
      <c r="F56" s="64" t="n">
        <v>4</v>
      </c>
    </row>
    <row r="57">
      <c r="A57" s="4" t="n">
        <v>53</v>
      </c>
      <c r="B57" s="4" t="inlineStr">
        <is>
          <t>сайт психолога</t>
        </is>
      </c>
      <c r="C57" s="4" t="inlineStr">
        <is>
          <t>K. Образ</t>
        </is>
      </c>
      <c r="D57" s="56" t="n">
        <v>2500</v>
      </c>
      <c r="E57" s="57" t="n">
        <v>95</v>
      </c>
      <c r="F57" s="64" t="n">
        <v>5</v>
      </c>
    </row>
    <row r="58">
      <c r="A58" s="4" t="n">
        <v>54</v>
      </c>
      <c r="B58" s="4" t="inlineStr">
        <is>
          <t>сайт репетитора</t>
        </is>
      </c>
      <c r="C58" s="4" t="inlineStr">
        <is>
          <t>K. Образ</t>
        </is>
      </c>
      <c r="D58" s="56" t="n">
        <v>2000</v>
      </c>
      <c r="E58" s="57" t="n">
        <v>75</v>
      </c>
      <c r="F58" s="64" t="n">
        <v>5</v>
      </c>
    </row>
    <row r="59">
      <c r="A59" s="4" t="n">
        <v>55</v>
      </c>
      <c r="B59" s="4" t="inlineStr">
        <is>
          <t>сайт онлайн школы</t>
        </is>
      </c>
      <c r="C59" s="4" t="inlineStr">
        <is>
          <t>K. Образ</t>
        </is>
      </c>
      <c r="D59" s="56" t="n">
        <v>1500</v>
      </c>
      <c r="E59" s="57" t="n">
        <v>105</v>
      </c>
      <c r="F59" s="64" t="n">
        <v>4</v>
      </c>
    </row>
    <row r="60">
      <c r="A60" s="4" t="n">
        <v>56</v>
      </c>
      <c r="B60" s="4" t="inlineStr">
        <is>
          <t>сайт коуча</t>
        </is>
      </c>
      <c r="C60" s="4" t="inlineStr">
        <is>
          <t>K. Образ</t>
        </is>
      </c>
      <c r="D60" s="56" t="n">
        <v>800</v>
      </c>
      <c r="E60" s="57" t="n">
        <v>85</v>
      </c>
      <c r="F60" s="64" t="n">
        <v>5</v>
      </c>
    </row>
    <row r="61">
      <c r="A61" s="4" t="n">
        <v>57</v>
      </c>
      <c r="B61" s="4" t="inlineStr">
        <is>
          <t>сайт фитнес тренера</t>
        </is>
      </c>
      <c r="C61" s="4" t="inlineStr">
        <is>
          <t>K. Образ</t>
        </is>
      </c>
      <c r="D61" s="56" t="n">
        <v>700</v>
      </c>
      <c r="E61" s="57" t="n">
        <v>75</v>
      </c>
      <c r="F61" s="64" t="n">
        <v>5</v>
      </c>
    </row>
    <row r="62">
      <c r="A62" s="4" t="n">
        <v>58</v>
      </c>
      <c r="B62" s="4" t="inlineStr">
        <is>
          <t>простой сайт сделать</t>
        </is>
      </c>
      <c r="C62" s="4" t="inlineStr">
        <is>
          <t>L. Pain ★</t>
        </is>
      </c>
      <c r="D62" s="56" t="n">
        <v>1500</v>
      </c>
      <c r="E62" s="57" t="n">
        <v>70</v>
      </c>
      <c r="F62" s="64" t="n">
        <v>4</v>
      </c>
    </row>
    <row r="63">
      <c r="A63" s="4" t="n">
        <v>59</v>
      </c>
      <c r="B63" s="4" t="inlineStr">
        <is>
          <t>сайт за день</t>
        </is>
      </c>
      <c r="C63" s="4" t="inlineStr">
        <is>
          <t>L. Pain ★</t>
        </is>
      </c>
      <c r="D63" s="56" t="n">
        <v>1200</v>
      </c>
      <c r="E63" s="57" t="n">
        <v>95</v>
      </c>
      <c r="F63" s="64" t="n">
        <v>5</v>
      </c>
    </row>
    <row r="64">
      <c r="A64" s="4" t="n">
        <v>60</v>
      </c>
      <c r="B64" s="4" t="inlineStr">
        <is>
          <t>сайт быстро недорого</t>
        </is>
      </c>
      <c r="C64" s="4" t="inlineStr">
        <is>
          <t>L. Pain ★</t>
        </is>
      </c>
      <c r="D64" s="56" t="n">
        <v>800</v>
      </c>
      <c r="E64" s="57" t="n">
        <v>85</v>
      </c>
      <c r="F64" s="64" t="n">
        <v>5</v>
      </c>
    </row>
    <row r="65">
      <c r="A65" s="4" t="n">
        <v>61</v>
      </c>
      <c r="B65" s="4" t="inlineStr">
        <is>
          <t>сайт визитка дёшево</t>
        </is>
      </c>
      <c r="C65" s="4" t="inlineStr">
        <is>
          <t>L. Pain ★</t>
        </is>
      </c>
      <c r="D65" s="56" t="n">
        <v>800</v>
      </c>
      <c r="E65" s="57" t="n">
        <v>55</v>
      </c>
      <c r="F65" s="64" t="n">
        <v>4</v>
      </c>
    </row>
    <row r="66">
      <c r="A66" s="4" t="n">
        <v>62</v>
      </c>
      <c r="B66" s="4" t="inlineStr">
        <is>
          <t>сайт без знаний программирования</t>
        </is>
      </c>
      <c r="C66" s="4" t="inlineStr">
        <is>
          <t>L. Pain ★</t>
        </is>
      </c>
      <c r="D66" s="56" t="n">
        <v>600</v>
      </c>
      <c r="E66" s="57" t="n">
        <v>65</v>
      </c>
      <c r="F66" s="64" t="n">
        <v>5</v>
      </c>
    </row>
    <row r="67">
      <c r="A67" s="4" t="n">
        <v>63</v>
      </c>
      <c r="B67" s="4" t="inlineStr">
        <is>
          <t>сделать сайт самому без программиста</t>
        </is>
      </c>
      <c r="C67" s="4" t="inlineStr">
        <is>
          <t>L. Pain ★</t>
        </is>
      </c>
      <c r="D67" s="56" t="n">
        <v>400</v>
      </c>
      <c r="E67" s="57" t="n">
        <v>60</v>
      </c>
      <c r="F67" s="64" t="n">
        <v>5</v>
      </c>
    </row>
    <row r="69">
      <c r="B69" s="3" t="inlineStr">
        <is>
          <t>ИТОГО · 63 ключей</t>
        </is>
      </c>
      <c r="D69" s="66">
        <f>SUM(D5:D68)</f>
        <v/>
      </c>
      <c r="E69" s="67">
        <f>AVERAGE(E5:E68)</f>
        <v/>
      </c>
    </row>
    <row r="72">
      <c r="A72" s="3" t="inlineStr">
        <is>
          <t>ВОРОНКА 100К ₽ → ПЛАТЯЩИЕ КЛИЕНТЫ · 4 СЦЕНАРИЯ 2026</t>
        </is>
      </c>
    </row>
    <row r="74">
      <c r="A74" s="5" t="inlineStr">
        <is>
          <t>Бюджет ₽/мес</t>
        </is>
      </c>
      <c r="B74" s="40" t="n">
        <v>100000</v>
      </c>
      <c r="D74" s="2" t="inlineStr">
        <is>
          <t>← поменяй число — пересчитается всё ниже</t>
        </is>
      </c>
    </row>
    <row r="76" ht="36" customHeight="1">
      <c r="A76" s="8" t="inlineStr">
        <is>
          <t>Сценарий</t>
        </is>
      </c>
      <c r="B76" s="8" t="inlineStr">
        <is>
          <t>Цена клика ₽</t>
        </is>
      </c>
      <c r="C76" s="8" t="inlineStr">
        <is>
          <t>Кликов = визитов</t>
        </is>
      </c>
      <c r="D76" s="8" t="inlineStr">
        <is>
          <t>Цена визита ₽</t>
        </is>
      </c>
      <c r="E76" s="8" t="inlineStr">
        <is>
          <t>Конверсия посадочной</t>
        </is>
      </c>
      <c r="F76" s="8" t="inlineStr">
        <is>
          <t>Регистраций на пробник</t>
        </is>
      </c>
      <c r="G76" s="8" t="inlineStr">
        <is>
          <t>Пробник → платящий</t>
        </is>
      </c>
      <c r="H76" s="8" t="inlineStr">
        <is>
          <t>Платящих/мес</t>
        </is>
      </c>
      <c r="I76" s="8" t="inlineStr">
        <is>
          <t>Стоимость привлечения ₽</t>
        </is>
      </c>
    </row>
    <row r="77">
      <c r="A77" s="4" t="inlineStr">
        <is>
          <t>А. Cold start M2 (clean targeting)</t>
        </is>
      </c>
      <c r="B77" s="40" t="n">
        <v>85</v>
      </c>
      <c r="C77" s="16">
        <f>$B$74/B77</f>
        <v/>
      </c>
      <c r="D77" s="43">
        <f>B77</f>
        <v/>
      </c>
      <c r="E77" s="68" t="n">
        <v>0.04</v>
      </c>
      <c r="F77" s="16">
        <f>C77*E77</f>
        <v/>
      </c>
      <c r="G77" s="68" t="n">
        <v>0.06</v>
      </c>
      <c r="H77" s="69">
        <f>F77*G77</f>
        <v/>
      </c>
      <c r="I77" s="59">
        <f>$B$74/H77</f>
        <v/>
      </c>
    </row>
    <row r="78">
      <c r="A78" s="4" t="inlineStr">
        <is>
          <t>Б. Базовая оптимизация M3</t>
        </is>
      </c>
      <c r="B78" s="40" t="n">
        <v>75</v>
      </c>
      <c r="C78" s="16">
        <f>$B$74/B78</f>
        <v/>
      </c>
      <c r="D78" s="43">
        <f>B78</f>
        <v/>
      </c>
      <c r="E78" s="68" t="n">
        <v>0.05</v>
      </c>
      <c r="F78" s="16">
        <f>C78*E78</f>
        <v/>
      </c>
      <c r="G78" s="68" t="n">
        <v>0.07000000000000001</v>
      </c>
      <c r="H78" s="69">
        <f>F78*G78</f>
        <v/>
      </c>
      <c r="I78" s="59">
        <f>$B$74/H78</f>
        <v/>
      </c>
    </row>
    <row r="79">
      <c r="A79" s="4" t="inlineStr">
        <is>
          <t>В. Vertical landing pages M4</t>
        </is>
      </c>
      <c r="B79" s="40" t="n">
        <v>65</v>
      </c>
      <c r="C79" s="16">
        <f>$B$74/B79</f>
        <v/>
      </c>
      <c r="D79" s="43">
        <f>B79</f>
        <v/>
      </c>
      <c r="E79" s="68" t="n">
        <v>0.06</v>
      </c>
      <c r="F79" s="16">
        <f>C79*E79</f>
        <v/>
      </c>
      <c r="G79" s="68" t="n">
        <v>0.08</v>
      </c>
      <c r="H79" s="69">
        <f>F79*G79</f>
        <v/>
      </c>
      <c r="I79" s="53">
        <f>$B$74/H79</f>
        <v/>
      </c>
    </row>
    <row r="80">
      <c r="A80" s="4" t="inlineStr">
        <is>
          <t>Г. Зрелая воронка M5+</t>
        </is>
      </c>
      <c r="B80" s="40" t="n">
        <v>60</v>
      </c>
      <c r="C80" s="16">
        <f>$B$74/B80</f>
        <v/>
      </c>
      <c r="D80" s="43">
        <f>B80</f>
        <v/>
      </c>
      <c r="E80" s="68" t="n">
        <v>0.07000000000000001</v>
      </c>
      <c r="F80" s="16">
        <f>C80*E80</f>
        <v/>
      </c>
      <c r="G80" s="68" t="n">
        <v>0.09</v>
      </c>
      <c r="H80" s="69">
        <f>F80*G80</f>
        <v/>
      </c>
      <c r="I80" s="53">
        <f>$B$74/H80</f>
        <v/>
      </c>
    </row>
    <row r="81">
      <c r="A81" s="4" t="inlineStr">
        <is>
          <t>Д. Идеал M6+ (LTV/CAC 2.4)</t>
        </is>
      </c>
      <c r="B81" s="40" t="n">
        <v>55</v>
      </c>
      <c r="C81" s="16">
        <f>$B$74/B81</f>
        <v/>
      </c>
      <c r="D81" s="43">
        <f>B81</f>
        <v/>
      </c>
      <c r="E81" s="68" t="n">
        <v>0.08</v>
      </c>
      <c r="F81" s="16">
        <f>C81*E81</f>
        <v/>
      </c>
      <c r="G81" s="68" t="n">
        <v>0.1</v>
      </c>
      <c r="H81" s="69">
        <f>F81*G81</f>
        <v/>
      </c>
      <c r="I81" s="53">
        <f>$B$74/H81</f>
        <v/>
      </c>
    </row>
    <row r="84">
      <c r="A84" s="3" t="inlineStr">
        <is>
          <t>ГРАФИК ПЕРВЫХ 6 МЕСЯЦЕВ НА 100К ₽/мес DIRECT</t>
        </is>
      </c>
    </row>
    <row r="86" ht="36" customHeight="1">
      <c r="A86" s="8" t="inlineStr">
        <is>
          <t>Месяц</t>
        </is>
      </c>
      <c r="B86" s="8" t="inlineStr">
        <is>
          <t>Что происходит</t>
        </is>
      </c>
      <c r="C86" s="8" t="inlineStr">
        <is>
          <t>Цена клика ₽</t>
        </is>
      </c>
      <c r="D86" s="8" t="inlineStr">
        <is>
          <t>Конв. посадочной</t>
        </is>
      </c>
      <c r="E86" s="8" t="inlineStr">
        <is>
          <t>Прб → Плт</t>
        </is>
      </c>
      <c r="F86" s="8" t="inlineStr">
        <is>
          <t>Кликов</t>
        </is>
      </c>
      <c r="G86" s="8" t="inlineStr">
        <is>
          <t>Пробников</t>
        </is>
      </c>
      <c r="H86" s="8" t="inlineStr">
        <is>
          <t>Платящих</t>
        </is>
      </c>
      <c r="I86" s="8" t="inlineStr">
        <is>
          <t>Стоимость привлечения ₽</t>
        </is>
      </c>
    </row>
    <row r="87">
      <c r="A87" s="33" t="inlineStr">
        <is>
          <t>M1</t>
        </is>
      </c>
      <c r="B87" s="4" t="inlineStr">
        <is>
          <t>M1 Soft launch (без рекламы)</t>
        </is>
      </c>
      <c r="C87" s="70" t="inlineStr">
        <is>
          <t>—</t>
        </is>
      </c>
      <c r="D87" s="70" t="inlineStr">
        <is>
          <t>—</t>
        </is>
      </c>
      <c r="E87" s="70" t="inlineStr">
        <is>
          <t>—</t>
        </is>
      </c>
      <c r="F87" s="70" t="inlineStr">
        <is>
          <t>—</t>
        </is>
      </c>
      <c r="G87" s="70" t="inlineStr">
        <is>
          <t>—</t>
        </is>
      </c>
      <c r="H87" s="71" t="n">
        <v>0</v>
      </c>
      <c r="I87" s="70" t="inlineStr">
        <is>
          <t>—</t>
        </is>
      </c>
    </row>
    <row r="88">
      <c r="A88" s="33" t="inlineStr">
        <is>
          <t>M2</t>
        </is>
      </c>
      <c r="B88" s="4" t="inlineStr">
        <is>
          <t>M2 Cold start (clean targeting)</t>
        </is>
      </c>
      <c r="C88" s="43" t="n">
        <v>85</v>
      </c>
      <c r="D88" s="72" t="n">
        <v>0.04</v>
      </c>
      <c r="E88" s="72" t="n">
        <v>0.06</v>
      </c>
      <c r="F88" s="16">
        <f>$B$74/C88</f>
        <v/>
      </c>
      <c r="G88" s="16">
        <f>F88*D88</f>
        <v/>
      </c>
      <c r="H88" s="69">
        <f>G88*E88</f>
        <v/>
      </c>
      <c r="I88" s="43">
        <f>$B$74/H88</f>
        <v/>
      </c>
    </row>
    <row r="89">
      <c r="A89" s="33" t="inlineStr">
        <is>
          <t>M3</t>
        </is>
      </c>
      <c r="B89" s="4" t="inlineStr">
        <is>
          <t>M3 Первая оптимизация</t>
        </is>
      </c>
      <c r="C89" s="43" t="n">
        <v>75</v>
      </c>
      <c r="D89" s="72" t="n">
        <v>0.05</v>
      </c>
      <c r="E89" s="72" t="n">
        <v>0.07000000000000001</v>
      </c>
      <c r="F89" s="16">
        <f>$B$74/C89</f>
        <v/>
      </c>
      <c r="G89" s="16">
        <f>F89*D89</f>
        <v/>
      </c>
      <c r="H89" s="69">
        <f>G89*E89</f>
        <v/>
      </c>
      <c r="I89" s="43">
        <f>$B$74/H89</f>
        <v/>
      </c>
    </row>
    <row r="90">
      <c r="A90" s="33" t="inlineStr">
        <is>
          <t>M4</t>
        </is>
      </c>
      <c r="B90" s="4" t="inlineStr">
        <is>
          <t>M4 Vertical landing pages</t>
        </is>
      </c>
      <c r="C90" s="43" t="n">
        <v>65</v>
      </c>
      <c r="D90" s="72" t="n">
        <v>0.06</v>
      </c>
      <c r="E90" s="72" t="n">
        <v>0.08</v>
      </c>
      <c r="F90" s="16">
        <f>$B$74/C90</f>
        <v/>
      </c>
      <c r="G90" s="16">
        <f>F90*D90</f>
        <v/>
      </c>
      <c r="H90" s="69">
        <f>G90*E90</f>
        <v/>
      </c>
      <c r="I90" s="43">
        <f>$B$74/H90</f>
        <v/>
      </c>
    </row>
    <row r="91">
      <c r="A91" s="33" t="inlineStr">
        <is>
          <t>M5</t>
        </is>
      </c>
      <c r="B91" s="4" t="inlineStr">
        <is>
          <t>M5 Retargeting + узнаваемость</t>
        </is>
      </c>
      <c r="C91" s="43" t="n">
        <v>60</v>
      </c>
      <c r="D91" s="72" t="n">
        <v>0.07000000000000001</v>
      </c>
      <c r="E91" s="72" t="n">
        <v>0.09</v>
      </c>
      <c r="F91" s="16">
        <f>$B$74/C91</f>
        <v/>
      </c>
      <c r="G91" s="16">
        <f>F91*D91</f>
        <v/>
      </c>
      <c r="H91" s="69">
        <f>G91*E91</f>
        <v/>
      </c>
      <c r="I91" s="43">
        <f>$B$74/H91</f>
        <v/>
      </c>
    </row>
    <row r="92">
      <c r="A92" s="33" t="inlineStr">
        <is>
          <t>M6</t>
        </is>
      </c>
      <c r="B92" s="4" t="inlineStr">
        <is>
          <t>M6 Зрелая воронка</t>
        </is>
      </c>
      <c r="C92" s="43" t="n">
        <v>55</v>
      </c>
      <c r="D92" s="72" t="n">
        <v>0.08</v>
      </c>
      <c r="E92" s="72" t="n">
        <v>0.1</v>
      </c>
      <c r="F92" s="16">
        <f>$B$74/C92</f>
        <v/>
      </c>
      <c r="G92" s="16">
        <f>F92*D92</f>
        <v/>
      </c>
      <c r="H92" s="69">
        <f>G92*E92</f>
        <v/>
      </c>
      <c r="I92" s="43">
        <f>$B$74/H92</f>
        <v/>
      </c>
    </row>
    <row r="93">
      <c r="B93" s="3" t="inlineStr">
        <is>
          <t>ИТОГО за 6 мес (новых платящих)</t>
        </is>
      </c>
      <c r="H93" s="73">
        <f>SUM(H87:H92)</f>
        <v/>
      </c>
    </row>
    <row r="96">
      <c r="A96" s="3" t="inlineStr">
        <is>
          <t>РАСХОЖДЕНИЕ С ФИНПЛАНОМ (лист 15)</t>
        </is>
      </c>
    </row>
    <row r="98" ht="36" customHeight="1">
      <c r="A98" s="8" t="inlineStr">
        <is>
          <t>Месяц</t>
        </is>
      </c>
      <c r="B98" s="8" t="inlineStr">
        <is>
          <t>По финплану</t>
        </is>
      </c>
      <c r="C98" s="8" t="inlineStr">
        <is>
          <t>По воронке Direct 100К</t>
        </is>
      </c>
      <c r="D98" s="8" t="inlineStr">
        <is>
          <t>Дельта</t>
        </is>
      </c>
      <c r="E98" s="8" t="inlineStr">
        <is>
          <t>Что компенсирует</t>
        </is>
      </c>
    </row>
    <row r="99">
      <c r="A99" s="33" t="inlineStr">
        <is>
          <t>M1</t>
        </is>
      </c>
      <c r="B99" s="16" t="n">
        <v>0</v>
      </c>
      <c r="C99" s="16" t="n">
        <v>0</v>
      </c>
      <c r="D99" s="62" t="inlineStr">
        <is>
          <t>0</t>
        </is>
      </c>
      <c r="E99" s="2" t="inlineStr">
        <is>
          <t>—</t>
        </is>
      </c>
    </row>
    <row r="100">
      <c r="A100" s="33" t="inlineStr">
        <is>
          <t>M2</t>
        </is>
      </c>
      <c r="B100" s="16" t="n">
        <v>30</v>
      </c>
      <c r="C100" s="16" t="n">
        <v>3</v>
      </c>
      <c r="D100" s="71" t="inlineStr">
        <is>
          <t>−27</t>
        </is>
      </c>
      <c r="E100" s="2" t="inlineStr">
        <is>
          <t>Multi-channel + soft-launch buzz → 8-12</t>
        </is>
      </c>
    </row>
    <row r="101">
      <c r="A101" s="33" t="inlineStr">
        <is>
          <t>M3</t>
        </is>
      </c>
      <c r="B101" s="16" t="n">
        <v>80</v>
      </c>
      <c r="C101" s="16" t="n">
        <v>5</v>
      </c>
      <c r="D101" s="71" t="inlineStr">
        <is>
          <t>−75</t>
        </is>
      </c>
      <c r="E101" s="2" t="inlineStr">
        <is>
          <t>VC.ru/Habr статья + первые кейсы → 25-35</t>
        </is>
      </c>
    </row>
    <row r="102">
      <c r="A102" s="33" t="inlineStr">
        <is>
          <t>M4</t>
        </is>
      </c>
      <c r="B102" s="16" t="n">
        <v>150</v>
      </c>
      <c r="C102" s="16" t="n">
        <v>7</v>
      </c>
      <c r="D102" s="71" t="inlineStr">
        <is>
          <t>−143</t>
        </is>
      </c>
      <c r="E102" s="2" t="inlineStr">
        <is>
          <t>Vertical lendings + B2B sales → 65-85</t>
        </is>
      </c>
    </row>
    <row r="103">
      <c r="A103" s="33" t="inlineStr">
        <is>
          <t>M5</t>
        </is>
      </c>
      <c r="B103" s="16" t="n">
        <v>250</v>
      </c>
      <c r="C103" s="16" t="n">
        <v>11</v>
      </c>
      <c r="D103" s="71" t="inlineStr">
        <is>
          <t>−240</t>
        </is>
      </c>
      <c r="E103" s="2" t="inlineStr">
        <is>
          <t>Retargeting + узнаваемость → 150-180</t>
        </is>
      </c>
    </row>
    <row r="104">
      <c r="A104" s="33" t="inlineStr">
        <is>
          <t>M6</t>
        </is>
      </c>
      <c r="B104" s="16" t="n">
        <v>380</v>
      </c>
      <c r="C104" s="16" t="n">
        <v>15</v>
      </c>
      <c r="D104" s="71" t="inlineStr">
        <is>
          <t>−365</t>
        </is>
      </c>
      <c r="E104" s="2" t="inlineStr">
        <is>
          <t>Зрелая воронка → 280-320</t>
        </is>
      </c>
    </row>
    <row r="105">
      <c r="A105" s="33" t="inlineStr">
        <is>
          <t>M7+</t>
        </is>
      </c>
      <c r="B105" s="70" t="inlineStr">
        <is>
          <t>540+</t>
        </is>
      </c>
      <c r="C105" s="70" t="inlineStr">
        <is>
          <t>20-30</t>
        </is>
      </c>
      <c r="D105" s="62" t="inlineStr">
        <is>
          <t>догоняет</t>
        </is>
      </c>
      <c r="E105" s="2" t="inlineStr">
        <is>
          <t>Бренд + кейсы + органика</t>
        </is>
      </c>
    </row>
    <row r="108" ht="60" customHeight="1">
      <c r="A108" s="74" t="inlineStr">
        <is>
          <t>ВЫВОД: 100К ₽ ТОЛЬКО на ЧИСТЫХ запросах в Direct в первый месяц = 3 платящих (vs 1 на грязном ядре). Грязные запросы (тильда / создать сайт / сайт бесплатно) — это freebie hunters и loyalty конкурентов, downstream conversion 0.5-1%. На чистых vertical / AI / pain ключах CV лендинга +60% и Trial→Paid +20%. Финплан М2=30 требует мульти-канал (Direct 60К + VK 25К + Telegram 15К → 8-12) + buzz (VC.ru → +14).</t>
        </is>
      </c>
    </row>
  </sheetData>
  <mergeCells count="1">
    <mergeCell ref="A108:I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2026-05-06T12:01:06Z</dcterms:created>
  <dcterms:modified xsi:type="dcterms:W3CDTF">2026-05-06T12:01:06Z</dcterms:modified>
</cp:coreProperties>
</file>