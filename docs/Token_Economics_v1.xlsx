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Lean финмодель 18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9" t="inlineStr">
        <is>
          <t>Разработка</t>
        </is>
      </c>
      <c r="B8" s="17" t="n">
        <v>300000</v>
      </c>
      <c r="C8" s="44" t="inlineStr">
        <is>
          <t>1 senior dev или 2 mid (founder + 1 hire). Ремонт + новые фичи.</t>
        </is>
      </c>
    </row>
    <row r="9">
      <c r="A9" s="22" t="inlineStr">
        <is>
          <t>ИТОГО ПОСТОЯННЫХ</t>
        </is>
      </c>
      <c r="B9" s="45">
        <f>SUM(B7:B8)</f>
        <v/>
      </c>
      <c r="C9" s="15" t="n"/>
    </row>
    <row r="11">
      <c r="A11" s="3" t="inlineStr">
        <is>
          <t>ПОЧЕМУ НЕТ СЕРВЕРОВ И ДОМЕНОВ?</t>
        </is>
      </c>
    </row>
    <row r="12" ht="22" customHeight="1">
      <c r="A12" s="6" t="inlineStr">
        <is>
          <t>Серверум (аренда сервера для сайта клиента) и домен + HTTPS включены в подписку клиента → переменные затраты, не наши fixed.</t>
        </is>
      </c>
    </row>
    <row r="13" ht="22" customHeight="1">
      <c r="A13" s="6" t="inlineStr">
        <is>
          <t>Логика: мы платим Серверум за каждый клиентский VPS, добавляем эту сумму в стоимость тарифа → сразу окупаем при первом платеже.</t>
        </is>
      </c>
    </row>
    <row r="14" ht="22" customHeight="1">
      <c r="A14" s="6" t="inlineStr">
        <is>
          <t>Наша собственная инфра (omnia.ai домен, control-plane если будет) пока в рамках 300к разработки — учли в FOT.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18 месяцев · M1 разработка → M2 запуск с маркетингом</t>
        </is>
      </c>
    </row>
    <row r="2" ht="32" customHeight="1">
      <c r="A2" s="2" t="inlineStr">
        <is>
          <t>M1 = только строим продукт (300к dev + 30к юрист). M2+ = продукт live, маркетинг ~100к → 250к, клиенты идут с первого дня запуска.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</row>
    <row r="8">
      <c r="A8" s="4" t="inlineStr">
        <is>
          <t>Маржа %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</row>
    <row r="12">
      <c r="A12" s="4" t="inlineStr">
        <is>
          <t>OPEX: Разработка, ₽</t>
        </is>
      </c>
      <c r="B12" s="43" t="n">
        <v>300000</v>
      </c>
      <c r="C12" s="43" t="n">
        <v>300000</v>
      </c>
      <c r="D12" s="43" t="n">
        <v>300000</v>
      </c>
      <c r="E12" s="43" t="n">
        <v>300000</v>
      </c>
      <c r="F12" s="43" t="n">
        <v>300000</v>
      </c>
      <c r="G12" s="43" t="n">
        <v>300000</v>
      </c>
      <c r="H12" s="43" t="n">
        <v>300000</v>
      </c>
      <c r="I12" s="43" t="n">
        <v>300000</v>
      </c>
      <c r="J12" s="43" t="n">
        <v>300000</v>
      </c>
      <c r="K12" s="43" t="n">
        <v>300000</v>
      </c>
      <c r="L12" s="43" t="n">
        <v>300000</v>
      </c>
      <c r="M12" s="43" t="n">
        <v>300000</v>
      </c>
      <c r="N12" s="43" t="n">
        <v>300000</v>
      </c>
      <c r="O12" s="43" t="n">
        <v>300000</v>
      </c>
      <c r="P12" s="43" t="n">
        <v>300000</v>
      </c>
      <c r="Q12" s="43" t="n">
        <v>300000</v>
      </c>
      <c r="R12" s="43" t="n">
        <v>300000</v>
      </c>
      <c r="S12" s="43" t="n">
        <v>300000</v>
      </c>
    </row>
    <row r="13">
      <c r="A13" s="4" t="inlineStr">
        <is>
          <t>OPEX: Маркетинг и реклама, ₽</t>
        </is>
      </c>
      <c r="B13" s="43" t="n">
        <v>0</v>
      </c>
      <c r="C13" s="59" t="n">
        <v>100000</v>
      </c>
      <c r="D13" s="59" t="n">
        <v>100000</v>
      </c>
      <c r="E13" s="59" t="n">
        <v>100000</v>
      </c>
      <c r="F13" s="59" t="n">
        <v>100000</v>
      </c>
      <c r="G13" s="59" t="n">
        <v>150000</v>
      </c>
      <c r="H13" s="59" t="n">
        <v>150000</v>
      </c>
      <c r="I13" s="59" t="n">
        <v>150000</v>
      </c>
      <c r="J13" s="59" t="n">
        <v>150000</v>
      </c>
      <c r="K13" s="59" t="n">
        <v>200000</v>
      </c>
      <c r="L13" s="59" t="n">
        <v>200000</v>
      </c>
      <c r="M13" s="59" t="n">
        <v>200000</v>
      </c>
      <c r="N13" s="59" t="n">
        <v>200000</v>
      </c>
      <c r="O13" s="59" t="n">
        <v>200000</v>
      </c>
      <c r="P13" s="59" t="n">
        <v>250000</v>
      </c>
      <c r="Q13" s="59" t="n">
        <v>250000</v>
      </c>
      <c r="R13" s="59" t="n">
        <v>250000</v>
      </c>
      <c r="S13" s="59" t="n">
        <v>250000</v>
      </c>
    </row>
    <row r="14">
      <c r="A14" s="33" t="inlineStr">
        <is>
          <t>ИТОГО OPEX, ₽</t>
        </is>
      </c>
      <c r="B14" s="60">
        <f>SUM(B11:B13)</f>
        <v/>
      </c>
      <c r="C14" s="60">
        <f>SUM(C11:C13)</f>
        <v/>
      </c>
      <c r="D14" s="60">
        <f>SUM(D11:D13)</f>
        <v/>
      </c>
      <c r="E14" s="60">
        <f>SUM(E11:E13)</f>
        <v/>
      </c>
      <c r="F14" s="60">
        <f>SUM(F11:F13)</f>
        <v/>
      </c>
      <c r="G14" s="60">
        <f>SUM(G11:G13)</f>
        <v/>
      </c>
      <c r="H14" s="60">
        <f>SUM(H11:H13)</f>
        <v/>
      </c>
      <c r="I14" s="60">
        <f>SUM(I11:I13)</f>
        <v/>
      </c>
      <c r="J14" s="60">
        <f>SUM(J11:J13)</f>
        <v/>
      </c>
      <c r="K14" s="60">
        <f>SUM(K11:K13)</f>
        <v/>
      </c>
      <c r="L14" s="60">
        <f>SUM(L11:L13)</f>
        <v/>
      </c>
      <c r="M14" s="60">
        <f>SUM(M11:M13)</f>
        <v/>
      </c>
      <c r="N14" s="60">
        <f>SUM(N11:N13)</f>
        <v/>
      </c>
      <c r="O14" s="60">
        <f>SUM(O11:O13)</f>
        <v/>
      </c>
      <c r="P14" s="60">
        <f>SUM(P11:P13)</f>
        <v/>
      </c>
      <c r="Q14" s="60">
        <f>SUM(Q11:Q13)</f>
        <v/>
      </c>
      <c r="R14" s="60">
        <f>SUM(R11:R13)</f>
        <v/>
      </c>
      <c r="S14" s="60">
        <f>SUM(S11:S13)</f>
        <v/>
      </c>
    </row>
    <row r="16">
      <c r="A16" s="33" t="inlineStr">
        <is>
          <t>Прибыль/убыток, ₽</t>
        </is>
      </c>
      <c r="B16" s="61">
        <f>B9-B14</f>
        <v/>
      </c>
      <c r="C16" s="61">
        <f>C9-C14</f>
        <v/>
      </c>
      <c r="D16" s="61">
        <f>D9-D14</f>
        <v/>
      </c>
      <c r="E16" s="61">
        <f>E9-E14</f>
        <v/>
      </c>
      <c r="F16" s="61">
        <f>F9-F14</f>
        <v/>
      </c>
      <c r="G16" s="61">
        <f>G9-G14</f>
        <v/>
      </c>
      <c r="H16" s="61">
        <f>H9-H14</f>
        <v/>
      </c>
      <c r="I16" s="61">
        <f>I9-I14</f>
        <v/>
      </c>
      <c r="J16" s="61">
        <f>J9-J14</f>
        <v/>
      </c>
      <c r="K16" s="61">
        <f>K9-K14</f>
        <v/>
      </c>
      <c r="L16" s="61">
        <f>L9-L14</f>
        <v/>
      </c>
      <c r="M16" s="61">
        <f>M9-M14</f>
        <v/>
      </c>
      <c r="N16" s="61">
        <f>N9-N14</f>
        <v/>
      </c>
      <c r="O16" s="61">
        <f>O9-O14</f>
        <v/>
      </c>
      <c r="P16" s="61">
        <f>P9-P14</f>
        <v/>
      </c>
      <c r="Q16" s="61">
        <f>Q9-Q14</f>
        <v/>
      </c>
      <c r="R16" s="61">
        <f>R9-R14</f>
        <v/>
      </c>
      <c r="S16" s="61">
        <f>S9-S14</f>
        <v/>
      </c>
    </row>
    <row r="17">
      <c r="A17" s="33" t="inlineStr">
        <is>
          <t>Накопленный кэш (старт 30к ₽), ₽</t>
        </is>
      </c>
      <c r="B17" s="61">
        <f>30000+B16</f>
        <v/>
      </c>
      <c r="C17" s="49">
        <f>B17+C16</f>
        <v/>
      </c>
      <c r="D17" s="49">
        <f>C17+D16</f>
        <v/>
      </c>
      <c r="E17" s="49">
        <f>D17+E16</f>
        <v/>
      </c>
      <c r="F17" s="49">
        <f>E17+F16</f>
        <v/>
      </c>
      <c r="G17" s="49">
        <f>F17+G16</f>
        <v/>
      </c>
      <c r="H17" s="49">
        <f>G17+H16</f>
        <v/>
      </c>
      <c r="I17" s="49">
        <f>H17+I16</f>
        <v/>
      </c>
      <c r="J17" s="49">
        <f>I17+J16</f>
        <v/>
      </c>
      <c r="K17" s="49">
        <f>J17+K16</f>
        <v/>
      </c>
      <c r="L17" s="49">
        <f>K17+L16</f>
        <v/>
      </c>
      <c r="M17" s="49">
        <f>L17+M16</f>
        <v/>
      </c>
      <c r="N17" s="49">
        <f>M17+N16</f>
        <v/>
      </c>
      <c r="O17" s="49">
        <f>N17+O16</f>
        <v/>
      </c>
      <c r="P17" s="49">
        <f>O17+P16</f>
        <v/>
      </c>
      <c r="Q17" s="49">
        <f>P17+Q16</f>
        <v/>
      </c>
      <c r="R17" s="49">
        <f>Q17+R16</f>
        <v/>
      </c>
      <c r="S17" s="49">
        <f>R17+S16</f>
        <v/>
      </c>
    </row>
    <row r="20">
      <c r="A20" s="3" t="inlineStr">
        <is>
          <t>SUMMARY</t>
        </is>
      </c>
    </row>
    <row r="21">
      <c r="A21" s="4" t="inlineStr">
        <is>
          <t>Выручка/мес на M18, ₽</t>
        </is>
      </c>
      <c r="B21" s="53">
        <f>S7</f>
        <v/>
      </c>
    </row>
    <row r="22">
      <c r="A22" s="4" t="inlineStr">
        <is>
          <t>Выручка/год на M18, ₽</t>
        </is>
      </c>
      <c r="B22" s="53">
        <f>S7*12</f>
        <v/>
      </c>
    </row>
    <row r="23">
      <c r="A23" s="4" t="inlineStr">
        <is>
          <t>Накопленный кэш на M18, ₽</t>
        </is>
      </c>
      <c r="B23" s="53">
        <f>S17</f>
        <v/>
      </c>
    </row>
    <row r="24">
      <c r="A24" s="4" t="inlineStr">
        <is>
          <t>Самый большой минус по деньгам, ₽</t>
        </is>
      </c>
      <c r="B24" s="60">
        <f>MIN(B17:S17)</f>
        <v/>
      </c>
    </row>
    <row r="25">
      <c r="A25" s="4" t="inlineStr">
        <is>
          <t>Месяц первого положительного EBITDA</t>
        </is>
      </c>
      <c r="B25" s="2" t="inlineStr">
        <is>
          <t>M8 (по плану)</t>
        </is>
      </c>
    </row>
    <row r="26">
      <c r="A26" s="4" t="inlineStr">
        <is>
          <t>Месяц recoup (накопленный кэш &gt; 0)</t>
        </is>
      </c>
      <c r="B26" s="2" t="inlineStr">
        <is>
          <t>M11 (по плану, +0.21 М)</t>
        </is>
      </c>
    </row>
    <row r="27">
      <c r="A27" s="4" t="inlineStr">
        <is>
          <t>Маркетинг суммарно за 18 мес</t>
        </is>
      </c>
      <c r="B27" s="62">
        <f>SUM(B13:S13)</f>
        <v/>
      </c>
    </row>
    <row r="29">
      <c r="A29" s="3" t="inlineStr">
        <is>
          <t>vs предыдущая lean-модель (3 мес build, без маркетинга):</t>
        </is>
      </c>
    </row>
    <row r="31">
      <c r="A31" s="4" t="inlineStr">
        <is>
          <t>Месяц точки безубыточности (EBITDA ≥ 0)</t>
        </is>
      </c>
      <c r="B31" s="63" t="inlineStr">
        <is>
          <t>M8</t>
        </is>
      </c>
      <c r="C31" s="64" t="inlineStr">
        <is>
          <t>M11</t>
        </is>
      </c>
      <c r="D31" s="4" t="inlineStr">
        <is>
          <t>+3 мес раньше</t>
        </is>
      </c>
    </row>
    <row r="32">
      <c r="A32" s="4" t="inlineStr">
        <is>
          <t>Месяц recoup (cash &gt; 0)</t>
        </is>
      </c>
      <c r="B32" s="63" t="inlineStr">
        <is>
          <t>M11</t>
        </is>
      </c>
      <c r="C32" s="64" t="inlineStr">
        <is>
          <t>M15</t>
        </is>
      </c>
      <c r="D32" s="4" t="inlineStr">
        <is>
          <t>+4 мес раньше</t>
        </is>
      </c>
    </row>
    <row r="33">
      <c r="A33" s="4" t="inlineStr">
        <is>
          <t>Min cash (макс. провал)</t>
        </is>
      </c>
      <c r="B33" s="63" t="inlineStr">
        <is>
          <t>~−2.0 М ₽</t>
        </is>
      </c>
      <c r="C33" s="64" t="inlineStr">
        <is>
          <t>~−2.65 М ₽</t>
        </is>
      </c>
      <c r="D33" s="4" t="inlineStr">
        <is>
          <t>−24%</t>
        </is>
      </c>
    </row>
    <row r="34">
      <c r="A34" s="4" t="inlineStr">
        <is>
          <t>MRR на M18</t>
        </is>
      </c>
      <c r="B34" s="63" t="inlineStr">
        <is>
          <t>~16.3 М ₽</t>
        </is>
      </c>
      <c r="C34" s="64" t="inlineStr">
        <is>
          <t>~9.6 М ₽</t>
        </is>
      </c>
      <c r="D34" s="4" t="inlineStr">
        <is>
          <t>+70%</t>
        </is>
      </c>
    </row>
    <row r="35">
      <c r="A35" s="4" t="inlineStr">
        <is>
          <t>Накопленный кэш на M18</t>
        </is>
      </c>
      <c r="B35" s="63" t="inlineStr">
        <is>
          <t>~+21.8 М ₽</t>
        </is>
      </c>
      <c r="C35" s="64" t="inlineStr">
        <is>
          <t>~+8.6 М ₽</t>
        </is>
      </c>
      <c r="D35" s="4" t="inlineStr">
        <is>
          <t>+150%</t>
        </is>
      </c>
    </row>
    <row r="36">
      <c r="A36" s="4" t="inlineStr">
        <is>
          <t>Маркетинг 18 мес</t>
        </is>
      </c>
      <c r="B36" s="63" t="inlineStr">
        <is>
          <t>~3.4 М ₽</t>
        </is>
      </c>
      <c r="C36" s="64" t="inlineStr">
        <is>
          <t>0 ₽</t>
        </is>
      </c>
      <c r="D36" s="4" t="inlineStr">
        <is>
          <t>+бюджет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2026-05-06T03:24:47Z</dcterms:created>
  <dcterms:modified xsi:type="dcterms:W3CDTF">2026-05-06T03:24:47Z</dcterms:modified>
</cp:coreProperties>
</file>