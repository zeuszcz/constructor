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араметры" sheetId="1" state="visible" r:id="rId1"/>
    <sheet name="2. Модели LLM" sheetId="2" state="visible" r:id="rId2"/>
    <sheet name="3. Цена сообщения" sheetId="3" state="visible" r:id="rId3"/>
    <sheet name="4. Объёмы 50-200-1000" sheetId="4" state="visible" r:id="rId4"/>
    <sheet name="5. Кошелёк → сообщения" sheetId="5" state="visible" r:id="rId5"/>
    <sheet name="6. Mix-сценарии" sheetId="6" state="visible" r:id="rId6"/>
    <sheet name="7. Маржа по тарифам" sheetId="7" state="visible" r:id="rId7"/>
    <sheet name="8. Размер сообщения" sheetId="8" state="visible" r:id="rId8"/>
    <sheet name="9. Топ-up пакеты" sheetId="9" state="visible" r:id="rId9"/>
    <sheet name="10. Сообщения на проект" sheetId="10" state="visible" r:id="rId10"/>
    <sheet name="11. Кеширование промптов" sheetId="11" state="visible" r:id="rId11"/>
    <sheet name="12. Qwen self-hosted" sheetId="12" state="visible" r:id="rId12"/>
    <sheet name="13. Lean opex" sheetId="13" state="visible" r:id="rId13"/>
    <sheet name="14. Lean break-even" sheetId="14" state="visible" r:id="rId14"/>
    <sheet name="15. Lean финмодель 18м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#,##0 ₽"/>
    <numFmt numFmtId="166" formatCode="0.00 ₽"/>
    <numFmt numFmtId="167" formatCode="0.0%"/>
    <numFmt numFmtId="168" formatCode="0.00 М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6B7280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0000FF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EEF0FF"/>
      </patternFill>
    </fill>
    <fill>
      <patternFill patternType="solid">
        <fgColor rgb="00FFE4E6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2" fillId="0" borderId="0" applyAlignment="1" pivotButton="0" quotePrefix="0" xfId="0">
      <alignment vertical="top" wrapText="1"/>
    </xf>
    <xf numFmtId="164" fontId="5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0" fillId="0" borderId="1" pivotButton="0" quotePrefix="0" xfId="0"/>
    <xf numFmtId="3" fontId="0" fillId="0" borderId="0" pivotButton="0" quotePrefix="0" xfId="0"/>
    <xf numFmtId="165" fontId="5" fillId="3" borderId="1" pivotButton="0" quotePrefix="0" xfId="0"/>
    <xf numFmtId="3" fontId="0" fillId="0" borderId="1" pivotButton="0" quotePrefix="0" xfId="0"/>
    <xf numFmtId="0" fontId="3" fillId="2" borderId="1" pivotButton="0" quotePrefix="0" xfId="0"/>
    <xf numFmtId="9" fontId="5" fillId="3" borderId="1" pivotButton="0" quotePrefix="0" xfId="0"/>
    <xf numFmtId="9" fontId="4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166" fontId="6" fillId="0" borderId="1" pivotButton="0" quotePrefix="0" xfId="0"/>
    <xf numFmtId="166" fontId="6" fillId="4" borderId="1" pivotButton="0" quotePrefix="0" xfId="0"/>
    <xf numFmtId="165" fontId="0" fillId="5" borderId="1" pivotButton="0" quotePrefix="0" xfId="0"/>
    <xf numFmtId="165" fontId="0" fillId="6" borderId="1" pivotButton="0" quotePrefix="0" xfId="0"/>
    <xf numFmtId="9" fontId="0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4" fillId="6" borderId="1" pivotButton="0" quotePrefix="0" xfId="0"/>
    <xf numFmtId="9" fontId="5" fillId="3" borderId="0" pivotButton="0" quotePrefix="0" xfId="0"/>
    <xf numFmtId="0" fontId="6" fillId="0" borderId="0" pivotButton="0" quotePrefix="0" xfId="0"/>
    <xf numFmtId="167" fontId="6" fillId="4" borderId="0" pivotButton="0" quotePrefix="0" xfId="0"/>
    <xf numFmtId="166" fontId="0" fillId="6" borderId="1" pivotButton="0" quotePrefix="0" xfId="0"/>
    <xf numFmtId="166" fontId="0" fillId="4" borderId="1" pivotButton="0" quotePrefix="0" xfId="0"/>
    <xf numFmtId="3" fontId="4" fillId="0" borderId="1" pivotButton="0" quotePrefix="0" xfId="0"/>
    <xf numFmtId="165" fontId="0" fillId="4" borderId="1" pivotButton="0" quotePrefix="0" xfId="0"/>
    <xf numFmtId="0" fontId="4" fillId="0" borderId="0" applyAlignment="1" pivotButton="0" quotePrefix="0" xfId="0">
      <alignment vertical="top" wrapText="1"/>
    </xf>
    <xf numFmtId="165" fontId="5" fillId="3" borderId="0" pivotButton="0" quotePrefix="0" xfId="0"/>
    <xf numFmtId="3" fontId="5" fillId="3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2" fillId="0" borderId="1" applyAlignment="1" pivotButton="0" quotePrefix="0" xfId="0">
      <alignment vertical="top" wrapText="1"/>
    </xf>
    <xf numFmtId="165" fontId="6" fillId="4" borderId="1" pivotButton="0" quotePrefix="0" xfId="0"/>
    <xf numFmtId="165" fontId="6" fillId="6" borderId="1" pivotButton="0" quotePrefix="0" xfId="0"/>
    <xf numFmtId="167" fontId="6" fillId="0" borderId="1" pivotButton="0" quotePrefix="0" xfId="0"/>
    <xf numFmtId="9" fontId="6" fillId="0" borderId="0" pivotButton="0" quotePrefix="0" xfId="0"/>
    <xf numFmtId="165" fontId="6" fillId="4" borderId="0" pivotButton="0" quotePrefix="0" xfId="0"/>
    <xf numFmtId="167" fontId="6" fillId="0" borderId="0" pivotButton="0" quotePrefix="0" xfId="0"/>
    <xf numFmtId="165" fontId="0" fillId="4" borderId="0" pivotButton="0" quotePrefix="0" xfId="0"/>
    <xf numFmtId="3" fontId="6" fillId="6" borderId="0" pivotButton="0" quotePrefix="0" xfId="0"/>
    <xf numFmtId="165" fontId="6" fillId="6" borderId="0" pivotButton="0" quotePrefix="0" xfId="0"/>
    <xf numFmtId="3" fontId="6" fillId="6" borderId="1" pivotButton="0" quotePrefix="0" xfId="0"/>
    <xf numFmtId="0" fontId="3" fillId="2" borderId="0" applyAlignment="1" pivotButton="0" quotePrefix="0" xfId="0">
      <alignment horizontal="center" vertical="center" wrapText="1"/>
    </xf>
    <xf numFmtId="3" fontId="4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5" fontId="0" fillId="3" borderId="0" pivotButton="0" quotePrefix="0" xfId="0"/>
    <xf numFmtId="165" fontId="6" fillId="5" borderId="0" pivotButton="0" quotePrefix="0" xfId="0"/>
    <xf numFmtId="165" fontId="6" fillId="0" borderId="0" pivotButton="0" quotePrefix="0" xfId="0"/>
    <xf numFmtId="165" fontId="0" fillId="5" borderId="0" pivotButton="0" quotePrefix="0" xfId="0"/>
    <xf numFmtId="0" fontId="6" fillId="6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>
      <c r="A1" s="1" t="inlineStr">
        <is>
          <t>Omnia.AI · Токен-экономика — параметры (v1)</t>
        </is>
      </c>
    </row>
    <row r="2" ht="32" customHeight="1">
      <c r="A2" s="2" t="inlineStr">
        <is>
          <t>Все жёлтые ячейки — input. Меняй и пересчитай. Чёрные — формулы.</t>
        </is>
      </c>
    </row>
    <row r="4" ht="32" customHeight="1">
      <c r="A4" s="3" t="inlineStr">
        <is>
          <t>Параметр</t>
        </is>
      </c>
      <c r="B4" s="3" t="inlineStr">
        <is>
          <t>Значение</t>
        </is>
      </c>
      <c r="C4" s="3" t="inlineStr">
        <is>
          <t>Комментарий</t>
        </is>
      </c>
    </row>
    <row r="5">
      <c r="A5" s="4" t="inlineStr">
        <is>
          <t>Курс ₽/$</t>
        </is>
      </c>
      <c r="B5" s="5" t="n">
        <v>100</v>
      </c>
      <c r="C5" s="6" t="inlineStr">
        <is>
          <t>Базовый курс на 2025</t>
        </is>
      </c>
    </row>
    <row r="6">
      <c r="A6" s="4" t="inlineStr">
        <is>
          <t>Markup на токены</t>
        </is>
      </c>
      <c r="B6" s="7" t="n">
        <v>2.8</v>
      </c>
      <c r="C6" s="6" t="inlineStr">
        <is>
          <t>Себестоимость + ~64% маржа на токенах</t>
        </is>
      </c>
    </row>
    <row r="7">
      <c r="A7" s="4" t="inlineStr">
        <is>
          <t>Output share</t>
        </is>
      </c>
      <c r="B7" s="7" t="n">
        <v>0.5</v>
      </c>
      <c r="C7" s="6" t="inlineStr">
        <is>
          <t>Доля output в общем объёме токенов</t>
        </is>
      </c>
    </row>
    <row r="8">
      <c r="A8" s="4" t="inlineStr">
        <is>
          <t>Размер сообщения, токенов</t>
        </is>
      </c>
      <c r="B8" s="5" t="n">
        <v>8000</v>
      </c>
      <c r="C8" s="6" t="inlineStr">
        <is>
          <t>5 000 input + 3 000 output (consrv. среднее)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1" t="inlineStr">
        <is>
          <t>8 моделей · себестоимость и retail-цена</t>
        </is>
      </c>
    </row>
    <row r="2" ht="32" customHeight="1">
      <c r="A2" s="2" t="inlineStr">
        <is>
          <t>Cost ₽/M = (input × output_share + output × output_share) × FX. Retail ₽/M = cost × markup.</t>
        </is>
      </c>
    </row>
    <row r="4" ht="36" customHeight="1">
      <c r="A4" s="8" t="inlineStr">
        <is>
          <t>Модель</t>
        </is>
      </c>
      <c r="B4" s="8" t="inlineStr">
        <is>
          <t>Категория</t>
        </is>
      </c>
      <c r="C4" s="8" t="inlineStr">
        <is>
          <t>Input $/1M</t>
        </is>
      </c>
      <c r="D4" s="8" t="inlineStr">
        <is>
          <t>Output $/1M</t>
        </is>
      </c>
      <c r="E4" s="8" t="inlineStr">
        <is>
          <t>Себест. ₽/1M</t>
        </is>
      </c>
      <c r="F4" s="8" t="inlineStr">
        <is>
          <t>Retail ₽/1M</t>
        </is>
      </c>
    </row>
    <row r="5">
      <c r="A5" s="9" t="inlineStr">
        <is>
          <t>DeepSeek V3.2</t>
        </is>
      </c>
      <c r="B5" s="9" t="inlineStr">
        <is>
          <t>ультра-эконом</t>
        </is>
      </c>
      <c r="C5" s="10" t="n">
        <v>0.28</v>
      </c>
      <c r="D5" s="10" t="n">
        <v>0.42</v>
      </c>
      <c r="E5" s="11">
        <f>(C5*(1-'1. Параметры'!$B$7)+D5*'1. Параметры'!$B$7)*'1. Параметры'!$B$5</f>
        <v/>
      </c>
      <c r="F5" s="11">
        <f>E5*'1. Параметры'!$B$6</f>
        <v/>
      </c>
    </row>
    <row r="6">
      <c r="A6" s="9" t="inlineStr">
        <is>
          <t>Qwen 3 235B (self-hosted)</t>
        </is>
      </c>
      <c r="B6" s="9" t="inlineStr">
        <is>
          <t>ультра-эконом</t>
        </is>
      </c>
      <c r="C6" s="10" t="n">
        <v>0.5</v>
      </c>
      <c r="D6" s="10" t="n">
        <v>0.5</v>
      </c>
      <c r="E6" s="11">
        <f>(C6*(1-'1. Параметры'!$B$7)+D6*'1. Параметры'!$B$7)*'1. Параметры'!$B$5</f>
        <v/>
      </c>
      <c r="F6" s="11">
        <f>E6*'1. Параметры'!$B$6</f>
        <v/>
      </c>
    </row>
    <row r="7">
      <c r="A7" s="9" t="inlineStr">
        <is>
          <t>Gemini 2.5 Flash</t>
        </is>
      </c>
      <c r="B7" s="9" t="inlineStr">
        <is>
          <t>эконом</t>
        </is>
      </c>
      <c r="C7" s="10" t="n">
        <v>0.3</v>
      </c>
      <c r="D7" s="10" t="n">
        <v>2.5</v>
      </c>
      <c r="E7" s="11">
        <f>(C7*(1-'1. Параметры'!$B$7)+D7*'1. Параметры'!$B$7)*'1. Параметры'!$B$5</f>
        <v/>
      </c>
      <c r="F7" s="11">
        <f>E7*'1. Параметры'!$B$6</f>
        <v/>
      </c>
    </row>
    <row r="8">
      <c r="A8" s="9" t="inlineStr">
        <is>
          <t>Claude Haiku 4.5</t>
        </is>
      </c>
      <c r="B8" s="9" t="inlineStr">
        <is>
          <t>баланс</t>
        </is>
      </c>
      <c r="C8" s="10" t="n">
        <v>1</v>
      </c>
      <c r="D8" s="10" t="n">
        <v>5</v>
      </c>
      <c r="E8" s="11">
        <f>(C8*(1-'1. Параметры'!$B$7)+D8*'1. Параметры'!$B$7)*'1. Параметры'!$B$5</f>
        <v/>
      </c>
      <c r="F8" s="11">
        <f>E8*'1. Параметры'!$B$6</f>
        <v/>
      </c>
    </row>
    <row r="9">
      <c r="A9" s="9" t="inlineStr">
        <is>
          <t>GigaChat 2 Pro</t>
        </is>
      </c>
      <c r="B9" s="9" t="inlineStr">
        <is>
          <t>152-ФЗ</t>
        </is>
      </c>
      <c r="C9" s="10" t="n">
        <v>5</v>
      </c>
      <c r="D9" s="10" t="n">
        <v>5</v>
      </c>
      <c r="E9" s="11">
        <f>(C9*(1-'1. Параметры'!$B$7)+D9*'1. Параметры'!$B$7)*'1. Параметры'!$B$5</f>
        <v/>
      </c>
      <c r="F9" s="11">
        <f>E9*'1. Параметры'!$B$6</f>
        <v/>
      </c>
    </row>
    <row r="10">
      <c r="A10" s="9" t="inlineStr">
        <is>
          <t>GPT-4.1</t>
        </is>
      </c>
      <c r="B10" s="9" t="inlineStr">
        <is>
          <t>премиум</t>
        </is>
      </c>
      <c r="C10" s="10" t="n">
        <v>2</v>
      </c>
      <c r="D10" s="10" t="n">
        <v>8</v>
      </c>
      <c r="E10" s="11">
        <f>(C10*(1-'1. Параметры'!$B$7)+D10*'1. Параметры'!$B$7)*'1. Параметры'!$B$5</f>
        <v/>
      </c>
      <c r="F10" s="11">
        <f>E10*'1. Параметры'!$B$6</f>
        <v/>
      </c>
    </row>
    <row r="11">
      <c r="A11" s="9" t="inlineStr">
        <is>
          <t>Claude Sonnet 4.6</t>
        </is>
      </c>
      <c r="B11" s="9" t="inlineStr">
        <is>
          <t>премиум</t>
        </is>
      </c>
      <c r="C11" s="10" t="n">
        <v>3</v>
      </c>
      <c r="D11" s="10" t="n">
        <v>15</v>
      </c>
      <c r="E11" s="11">
        <f>(C11*(1-'1. Параметры'!$B$7)+D11*'1. Параметры'!$B$7)*'1. Параметры'!$B$5</f>
        <v/>
      </c>
      <c r="F11" s="11">
        <f>E11*'1. Параметры'!$B$6</f>
        <v/>
      </c>
    </row>
    <row r="12">
      <c r="A12" s="9" t="inlineStr">
        <is>
          <t>YandexGPT 5 Pro</t>
        </is>
      </c>
      <c r="B12" s="9" t="inlineStr">
        <is>
          <t>152-ФЗ премиум</t>
        </is>
      </c>
      <c r="C12" s="10" t="n">
        <v>8</v>
      </c>
      <c r="D12" s="10" t="n">
        <v>16</v>
      </c>
      <c r="E12" s="11">
        <f>(C12*(1-'1. Параметры'!$B$7)+D12*'1. Параметры'!$B$7)*'1. Параметры'!$B$5</f>
        <v/>
      </c>
      <c r="F12" s="11">
        <f>E12*'1. Параметры'!$B$6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4" customWidth="1" min="5" max="5"/>
  </cols>
  <sheetData>
    <row r="1">
      <c r="A1" s="1" t="inlineStr">
        <is>
          <t>Стоимость 1 сообщения · 8 000 токенов</t>
        </is>
      </c>
    </row>
    <row r="2" ht="32" customHeight="1">
      <c r="A2" s="2" t="inlineStr">
        <is>
          <t>1 сообщение = размер_сообщения / 1 000 000 миллионов токенов. Меняй msg_size в 1.Параметры.</t>
        </is>
      </c>
    </row>
    <row r="4" ht="36" customHeight="1">
      <c r="A4" s="8" t="inlineStr">
        <is>
          <t>Модель</t>
        </is>
      </c>
      <c r="B4" s="8" t="inlineStr">
        <is>
          <t>Себест. ₽/msg</t>
        </is>
      </c>
      <c r="C4" s="8" t="inlineStr">
        <is>
          <t>Retail ₽/msg</t>
        </is>
      </c>
      <c r="D4" s="8" t="inlineStr">
        <is>
          <t>Маржа ₽/msg</t>
        </is>
      </c>
      <c r="E4" s="8" t="inlineStr">
        <is>
          <t>Маржа %</t>
        </is>
      </c>
    </row>
    <row r="5">
      <c r="A5" s="9" t="inlineStr">
        <is>
          <t>DeepSeek V3.2</t>
        </is>
      </c>
      <c r="B5" s="12">
        <f>'2. Модели LLM'!E5*'1. Параметры'!$B$8/1000000</f>
        <v/>
      </c>
      <c r="C5" s="12">
        <f>'2. Модели LLM'!F5*'1. Параметры'!$B$8/1000000</f>
        <v/>
      </c>
      <c r="D5" s="12">
        <f>C5-B5</f>
        <v/>
      </c>
      <c r="E5" s="13">
        <f>(C5-B5)/C5</f>
        <v/>
      </c>
    </row>
    <row r="6">
      <c r="A6" s="9" t="inlineStr">
        <is>
          <t>Qwen 3 235B (self-hosted)</t>
        </is>
      </c>
      <c r="B6" s="12">
        <f>'2. Модели LLM'!E6*'1. Параметры'!$B$8/1000000</f>
        <v/>
      </c>
      <c r="C6" s="12">
        <f>'2. Модели LLM'!F6*'1. Параметры'!$B$8/1000000</f>
        <v/>
      </c>
      <c r="D6" s="12">
        <f>C6-B6</f>
        <v/>
      </c>
      <c r="E6" s="13">
        <f>(C6-B6)/C6</f>
        <v/>
      </c>
    </row>
    <row r="7">
      <c r="A7" s="9" t="inlineStr">
        <is>
          <t>Gemini 2.5 Flash</t>
        </is>
      </c>
      <c r="B7" s="12">
        <f>'2. Модели LLM'!E7*'1. Параметры'!$B$8/1000000</f>
        <v/>
      </c>
      <c r="C7" s="12">
        <f>'2. Модели LLM'!F7*'1. Параметры'!$B$8/1000000</f>
        <v/>
      </c>
      <c r="D7" s="12">
        <f>C7-B7</f>
        <v/>
      </c>
      <c r="E7" s="13">
        <f>(C7-B7)/C7</f>
        <v/>
      </c>
    </row>
    <row r="8">
      <c r="A8" s="9" t="inlineStr">
        <is>
          <t>Claude Haiku 4.5</t>
        </is>
      </c>
      <c r="B8" s="12">
        <f>'2. Модели LLM'!E8*'1. Параметры'!$B$8/1000000</f>
        <v/>
      </c>
      <c r="C8" s="12">
        <f>'2. Модели LLM'!F8*'1. Параметры'!$B$8/1000000</f>
        <v/>
      </c>
      <c r="D8" s="12">
        <f>C8-B8</f>
        <v/>
      </c>
      <c r="E8" s="13">
        <f>(C8-B8)/C8</f>
        <v/>
      </c>
    </row>
    <row r="9">
      <c r="A9" s="9" t="inlineStr">
        <is>
          <t>GigaChat 2 Pro</t>
        </is>
      </c>
      <c r="B9" s="12">
        <f>'2. Модели LLM'!E9*'1. Параметры'!$B$8/1000000</f>
        <v/>
      </c>
      <c r="C9" s="12">
        <f>'2. Модели LLM'!F9*'1. Параметры'!$B$8/1000000</f>
        <v/>
      </c>
      <c r="D9" s="12">
        <f>C9-B9</f>
        <v/>
      </c>
      <c r="E9" s="13">
        <f>(C9-B9)/C9</f>
        <v/>
      </c>
    </row>
    <row r="10">
      <c r="A10" s="9" t="inlineStr">
        <is>
          <t>GPT-4.1</t>
        </is>
      </c>
      <c r="B10" s="12">
        <f>'2. Модели LLM'!E10*'1. Параметры'!$B$8/1000000</f>
        <v/>
      </c>
      <c r="C10" s="12">
        <f>'2. Модели LLM'!F10*'1. Параметры'!$B$8/1000000</f>
        <v/>
      </c>
      <c r="D10" s="12">
        <f>C10-B10</f>
        <v/>
      </c>
      <c r="E10" s="13">
        <f>(C10-B10)/C10</f>
        <v/>
      </c>
    </row>
    <row r="11">
      <c r="A11" s="9" t="inlineStr">
        <is>
          <t>Claude Sonnet 4.6</t>
        </is>
      </c>
      <c r="B11" s="12">
        <f>'2. Модели LLM'!E11*'1. Параметры'!$B$8/1000000</f>
        <v/>
      </c>
      <c r="C11" s="12">
        <f>'2. Модели LLM'!F11*'1. Параметры'!$B$8/1000000</f>
        <v/>
      </c>
      <c r="D11" s="12">
        <f>C11-B11</f>
        <v/>
      </c>
      <c r="E11" s="13">
        <f>(C11-B11)/C11</f>
        <v/>
      </c>
    </row>
    <row r="12">
      <c r="A12" s="9" t="inlineStr">
        <is>
          <t>YandexGPT 5 Pro</t>
        </is>
      </c>
      <c r="B12" s="12">
        <f>'2. Модели LLM'!E12*'1. Параметры'!$B$8/1000000</f>
        <v/>
      </c>
      <c r="C12" s="12">
        <f>'2. Модели LLM'!F12*'1. Параметры'!$B$8/1000000</f>
        <v/>
      </c>
      <c r="D12" s="12">
        <f>C12-B12</f>
        <v/>
      </c>
      <c r="E12" s="13">
        <f>(C12-B12)/C12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8" customWidth="1" min="4" max="4"/>
    <col width="16" customWidth="1" min="5" max="5"/>
  </cols>
  <sheetData>
    <row r="1">
      <c r="A1" s="1" t="inlineStr">
        <is>
          <t>Сколько стоит 50 / 200 / 1 000 сообщений</t>
        </is>
      </c>
    </row>
    <row r="2" ht="32" customHeight="1">
      <c r="A2" s="2" t="inlineStr">
        <is>
          <t>Retail-цена что заплатит пользователь · меняй msg_size в 1.Параметры.</t>
        </is>
      </c>
    </row>
    <row r="4" ht="36" customHeight="1">
      <c r="A4" s="8" t="inlineStr">
        <is>
          <t>Модель</t>
        </is>
      </c>
      <c r="B4" s="8" t="inlineStr">
        <is>
          <t>50 сообщений</t>
        </is>
      </c>
      <c r="C4" s="8" t="inlineStr">
        <is>
          <t>200 сообщений</t>
        </is>
      </c>
      <c r="D4" s="8" t="inlineStr">
        <is>
          <t>1 000 сообщений</t>
        </is>
      </c>
      <c r="E4" s="8" t="inlineStr">
        <is>
          <t>Токенов всего</t>
        </is>
      </c>
    </row>
    <row r="5">
      <c r="A5" s="9" t="inlineStr">
        <is>
          <t>DeepSeek V3.2</t>
        </is>
      </c>
      <c r="B5" s="11">
        <f>'3. Цена сообщения'!C5*50</f>
        <v/>
      </c>
      <c r="C5" s="11">
        <f>'3. Цена сообщения'!C5*200</f>
        <v/>
      </c>
      <c r="D5" s="11">
        <f>'3. Цена сообщения'!C5*1000</f>
        <v/>
      </c>
      <c r="E5" s="14">
        <f>1000*'1. Параметры'!$B$8/1000000</f>
        <v/>
      </c>
    </row>
    <row r="6">
      <c r="A6" s="9" t="inlineStr">
        <is>
          <t>Qwen 3 235B (self-hosted)</t>
        </is>
      </c>
      <c r="B6" s="11">
        <f>'3. Цена сообщения'!C6*50</f>
        <v/>
      </c>
      <c r="C6" s="11">
        <f>'3. Цена сообщения'!C6*200</f>
        <v/>
      </c>
      <c r="D6" s="11">
        <f>'3. Цена сообщения'!C6*1000</f>
        <v/>
      </c>
      <c r="E6" s="14">
        <f>1000*'1. Параметры'!$B$8/1000000</f>
        <v/>
      </c>
    </row>
    <row r="7">
      <c r="A7" s="9" t="inlineStr">
        <is>
          <t>Gemini 2.5 Flash</t>
        </is>
      </c>
      <c r="B7" s="11">
        <f>'3. Цена сообщения'!C7*50</f>
        <v/>
      </c>
      <c r="C7" s="11">
        <f>'3. Цена сообщения'!C7*200</f>
        <v/>
      </c>
      <c r="D7" s="11">
        <f>'3. Цена сообщения'!C7*1000</f>
        <v/>
      </c>
      <c r="E7" s="14">
        <f>1000*'1. Параметры'!$B$8/1000000</f>
        <v/>
      </c>
    </row>
    <row r="8">
      <c r="A8" s="9" t="inlineStr">
        <is>
          <t>Claude Haiku 4.5</t>
        </is>
      </c>
      <c r="B8" s="11">
        <f>'3. Цена сообщения'!C8*50</f>
        <v/>
      </c>
      <c r="C8" s="11">
        <f>'3. Цена сообщения'!C8*200</f>
        <v/>
      </c>
      <c r="D8" s="11">
        <f>'3. Цена сообщения'!C8*1000</f>
        <v/>
      </c>
      <c r="E8" s="14">
        <f>1000*'1. Параметры'!$B$8/1000000</f>
        <v/>
      </c>
    </row>
    <row r="9">
      <c r="A9" s="9" t="inlineStr">
        <is>
          <t>GigaChat 2 Pro</t>
        </is>
      </c>
      <c r="B9" s="11">
        <f>'3. Цена сообщения'!C9*50</f>
        <v/>
      </c>
      <c r="C9" s="11">
        <f>'3. Цена сообщения'!C9*200</f>
        <v/>
      </c>
      <c r="D9" s="11">
        <f>'3. Цена сообщения'!C9*1000</f>
        <v/>
      </c>
      <c r="E9" s="14">
        <f>1000*'1. Параметры'!$B$8/1000000</f>
        <v/>
      </c>
    </row>
    <row r="10">
      <c r="A10" s="9" t="inlineStr">
        <is>
          <t>GPT-4.1</t>
        </is>
      </c>
      <c r="B10" s="11">
        <f>'3. Цена сообщения'!C10*50</f>
        <v/>
      </c>
      <c r="C10" s="11">
        <f>'3. Цена сообщения'!C10*200</f>
        <v/>
      </c>
      <c r="D10" s="11">
        <f>'3. Цена сообщения'!C10*1000</f>
        <v/>
      </c>
      <c r="E10" s="14">
        <f>1000*'1. Параметры'!$B$8/1000000</f>
        <v/>
      </c>
    </row>
    <row r="11">
      <c r="A11" s="9" t="inlineStr">
        <is>
          <t>Claude Sonnet 4.6</t>
        </is>
      </c>
      <c r="B11" s="11">
        <f>'3. Цена сообщения'!C11*50</f>
        <v/>
      </c>
      <c r="C11" s="11">
        <f>'3. Цена сообщения'!C11*200</f>
        <v/>
      </c>
      <c r="D11" s="11">
        <f>'3. Цена сообщения'!C11*1000</f>
        <v/>
      </c>
      <c r="E11" s="14">
        <f>1000*'1. Параметры'!$B$8/1000000</f>
        <v/>
      </c>
    </row>
    <row r="12">
      <c r="A12" s="9" t="inlineStr">
        <is>
          <t>YandexGPT 5 Pro</t>
        </is>
      </c>
      <c r="B12" s="11">
        <f>'3. Цена сообщения'!C12*50</f>
        <v/>
      </c>
      <c r="C12" s="11">
        <f>'3. Цена сообщения'!C12*200</f>
        <v/>
      </c>
      <c r="D12" s="11">
        <f>'3. Цена сообщения'!C12*1000</f>
        <v/>
      </c>
      <c r="E12" s="14">
        <f>1000*'1. Параметры'!$B$8/1000000</f>
        <v/>
      </c>
    </row>
    <row r="13">
      <c r="A13" s="15" t="n"/>
      <c r="B13" s="15" t="n"/>
      <c r="C13" s="15" t="n"/>
      <c r="D13" s="15" t="n"/>
      <c r="E13" s="15" t="n"/>
    </row>
    <row r="14">
      <c r="A14" s="2" t="inlineStr">
        <is>
          <t>Токенов суммарно (для 1 000 msg)</t>
        </is>
      </c>
      <c r="B14" s="16">
        <f>50*'1. Параметры'!$B$8</f>
        <v/>
      </c>
      <c r="C14" s="16">
        <f>200*'1. Параметры'!$B$8</f>
        <v/>
      </c>
      <c r="D14" s="16">
        <f>1000*'1. Параметры'!$B$8</f>
        <v/>
      </c>
      <c r="E14" s="2" t="inlineStr">
        <is>
          <t>токенов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</cols>
  <sheetData>
    <row r="1">
      <c r="A1" s="1" t="inlineStr">
        <is>
          <t>Сколько сообщений покрывает кошелёк каждого тарифа</t>
        </is>
      </c>
    </row>
    <row r="2" ht="32" customHeight="1">
      <c r="A2" s="2" t="inlineStr">
        <is>
          <t>Если пользователь использует только одну модель.</t>
        </is>
      </c>
    </row>
    <row r="4" ht="36" customHeight="1">
      <c r="A4" s="8" t="inlineStr">
        <is>
          <t>Тариф</t>
        </is>
      </c>
      <c r="B4" s="8" t="inlineStr">
        <is>
          <t>Кошелёк ₽</t>
        </is>
      </c>
      <c r="C4" s="8" t="inlineStr">
        <is>
          <t>DeepSeek</t>
        </is>
      </c>
      <c r="D4" s="8" t="inlineStr">
        <is>
          <t>Qwen</t>
        </is>
      </c>
      <c r="E4" s="8" t="inlineStr">
        <is>
          <t>Gemini Flash</t>
        </is>
      </c>
      <c r="F4" s="8" t="inlineStr">
        <is>
          <t>Haiku 4.5</t>
        </is>
      </c>
      <c r="G4" s="8" t="inlineStr">
        <is>
          <t>GigaChat</t>
        </is>
      </c>
      <c r="H4" s="8" t="inlineStr">
        <is>
          <t>GPT-4.1</t>
        </is>
      </c>
      <c r="I4" s="8" t="inlineStr">
        <is>
          <t>Sonnet 4.6</t>
        </is>
      </c>
      <c r="J4" s="8" t="inlineStr">
        <is>
          <t>YandexGPT</t>
        </is>
      </c>
    </row>
    <row r="5">
      <c r="A5" s="9" t="inlineStr">
        <is>
          <t>Free (5 дней)</t>
        </is>
      </c>
      <c r="B5" s="17" t="n">
        <v>500</v>
      </c>
      <c r="C5" s="18">
        <f>ROUNDDOWN(B5/'3. Цена сообщения'!C5,0)</f>
        <v/>
      </c>
      <c r="D5" s="18">
        <f>ROUNDDOWN(B5/'3. Цена сообщения'!C6,0)</f>
        <v/>
      </c>
      <c r="E5" s="18">
        <f>ROUNDDOWN(B5/'3. Цена сообщения'!C7,0)</f>
        <v/>
      </c>
      <c r="F5" s="18">
        <f>ROUNDDOWN(B5/'3. Цена сообщения'!C8,0)</f>
        <v/>
      </c>
      <c r="G5" s="18">
        <f>ROUNDDOWN(B5/'3. Цена сообщения'!C9,0)</f>
        <v/>
      </c>
      <c r="H5" s="18">
        <f>ROUNDDOWN(B5/'3. Цена сообщения'!C10,0)</f>
        <v/>
      </c>
      <c r="I5" s="18">
        <f>ROUNDDOWN(B5/'3. Цена сообщения'!C11,0)</f>
        <v/>
      </c>
      <c r="J5" s="18">
        <f>ROUNDDOWN(B5/'3. Цена сообщения'!C12,0)</f>
        <v/>
      </c>
    </row>
    <row r="6">
      <c r="A6" s="9" t="inlineStr">
        <is>
          <t>Lite</t>
        </is>
      </c>
      <c r="B6" s="17" t="n">
        <v>1000</v>
      </c>
      <c r="C6" s="18">
        <f>ROUNDDOWN(B6/'3. Цена сообщения'!C5,0)</f>
        <v/>
      </c>
      <c r="D6" s="18">
        <f>ROUNDDOWN(B6/'3. Цена сообщения'!C6,0)</f>
        <v/>
      </c>
      <c r="E6" s="18">
        <f>ROUNDDOWN(B6/'3. Цена сообщения'!C7,0)</f>
        <v/>
      </c>
      <c r="F6" s="18">
        <f>ROUNDDOWN(B6/'3. Цена сообщения'!C8,0)</f>
        <v/>
      </c>
      <c r="G6" s="18">
        <f>ROUNDDOWN(B6/'3. Цена сообщения'!C9,0)</f>
        <v/>
      </c>
      <c r="H6" s="18">
        <f>ROUNDDOWN(B6/'3. Цена сообщения'!C10,0)</f>
        <v/>
      </c>
      <c r="I6" s="18">
        <f>ROUNDDOWN(B6/'3. Цена сообщения'!C11,0)</f>
        <v/>
      </c>
      <c r="J6" s="18">
        <f>ROUNDDOWN(B6/'3. Цена сообщения'!C12,0)</f>
        <v/>
      </c>
    </row>
    <row r="7">
      <c r="A7" s="9" t="inlineStr">
        <is>
          <t>Starter</t>
        </is>
      </c>
      <c r="B7" s="17" t="n">
        <v>2500</v>
      </c>
      <c r="C7" s="18">
        <f>ROUNDDOWN(B7/'3. Цена сообщения'!C5,0)</f>
        <v/>
      </c>
      <c r="D7" s="18">
        <f>ROUNDDOWN(B7/'3. Цена сообщения'!C6,0)</f>
        <v/>
      </c>
      <c r="E7" s="18">
        <f>ROUNDDOWN(B7/'3. Цена сообщения'!C7,0)</f>
        <v/>
      </c>
      <c r="F7" s="18">
        <f>ROUNDDOWN(B7/'3. Цена сообщения'!C8,0)</f>
        <v/>
      </c>
      <c r="G7" s="18">
        <f>ROUNDDOWN(B7/'3. Цена сообщения'!C9,0)</f>
        <v/>
      </c>
      <c r="H7" s="18">
        <f>ROUNDDOWN(B7/'3. Цена сообщения'!C10,0)</f>
        <v/>
      </c>
      <c r="I7" s="18">
        <f>ROUNDDOWN(B7/'3. Цена сообщения'!C11,0)</f>
        <v/>
      </c>
      <c r="J7" s="18">
        <f>ROUNDDOWN(B7/'3. Цена сообщения'!C12,0)</f>
        <v/>
      </c>
    </row>
    <row r="8">
      <c r="A8" s="9" t="inlineStr">
        <is>
          <t>Pro</t>
        </is>
      </c>
      <c r="B8" s="17" t="n">
        <v>6000</v>
      </c>
      <c r="C8" s="18">
        <f>ROUNDDOWN(B8/'3. Цена сообщения'!C5,0)</f>
        <v/>
      </c>
      <c r="D8" s="18">
        <f>ROUNDDOWN(B8/'3. Цена сообщения'!C6,0)</f>
        <v/>
      </c>
      <c r="E8" s="18">
        <f>ROUNDDOWN(B8/'3. Цена сообщения'!C7,0)</f>
        <v/>
      </c>
      <c r="F8" s="18">
        <f>ROUNDDOWN(B8/'3. Цена сообщения'!C8,0)</f>
        <v/>
      </c>
      <c r="G8" s="18">
        <f>ROUNDDOWN(B8/'3. Цена сообщения'!C9,0)</f>
        <v/>
      </c>
      <c r="H8" s="18">
        <f>ROUNDDOWN(B8/'3. Цена сообщения'!C10,0)</f>
        <v/>
      </c>
      <c r="I8" s="18">
        <f>ROUNDDOWN(B8/'3. Цена сообщения'!C11,0)</f>
        <v/>
      </c>
      <c r="J8" s="18">
        <f>ROUNDDOWN(B8/'3. Цена сообщения'!C12,0)</f>
        <v/>
      </c>
    </row>
    <row r="9">
      <c r="A9" s="9" t="inlineStr">
        <is>
          <t>Enterprise</t>
        </is>
      </c>
      <c r="B9" s="17" t="n">
        <v>18000</v>
      </c>
      <c r="C9" s="18">
        <f>ROUNDDOWN(B9/'3. Цена сообщения'!C5,0)</f>
        <v/>
      </c>
      <c r="D9" s="18">
        <f>ROUNDDOWN(B9/'3. Цена сообщения'!C6,0)</f>
        <v/>
      </c>
      <c r="E9" s="18">
        <f>ROUNDDOWN(B9/'3. Цена сообщения'!C7,0)</f>
        <v/>
      </c>
      <c r="F9" s="18">
        <f>ROUNDDOWN(B9/'3. Цена сообщения'!C8,0)</f>
        <v/>
      </c>
      <c r="G9" s="18">
        <f>ROUNDDOWN(B9/'3. Цена сообщения'!C9,0)</f>
        <v/>
      </c>
      <c r="H9" s="18">
        <f>ROUNDDOWN(B9/'3. Цена сообщения'!C10,0)</f>
        <v/>
      </c>
      <c r="I9" s="18">
        <f>ROUNDDOWN(B9/'3. Цена сообщения'!C11,0)</f>
        <v/>
      </c>
      <c r="J9" s="18">
        <f>ROUNDDOWN(B9/'3. Цена сообщения'!C12,0)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4 типичных профиля пользователя</t>
        </is>
      </c>
    </row>
    <row r="2" ht="32" customHeight="1">
      <c r="A2" s="2" t="inlineStr">
        <is>
          <t>Меняй веса в столбце B — пересчёт автоматический.</t>
        </is>
      </c>
    </row>
    <row r="4">
      <c r="A4" s="19" t="inlineStr">
        <is>
          <t>Модель</t>
        </is>
      </c>
      <c r="B4" s="8" t="inlineStr">
        <is>
          <t>A. MVP-эконом</t>
        </is>
      </c>
      <c r="C4" s="8" t="inlineStr">
        <is>
          <t>B. Балансный</t>
        </is>
      </c>
      <c r="D4" s="8" t="inlineStr">
        <is>
          <t>C. Премиум</t>
        </is>
      </c>
      <c r="E4" s="8" t="inlineStr">
        <is>
          <t>D. 152-ФЗ</t>
        </is>
      </c>
    </row>
    <row r="5">
      <c r="A5" s="9" t="inlineStr">
        <is>
          <t>DeepSeek V3.2</t>
        </is>
      </c>
      <c r="B5" s="20" t="n">
        <v>0.7</v>
      </c>
      <c r="C5" s="20" t="n">
        <v>0.4</v>
      </c>
      <c r="D5" s="21" t="n">
        <v>0</v>
      </c>
      <c r="E5" s="21" t="n">
        <v>0</v>
      </c>
    </row>
    <row r="6">
      <c r="A6" s="9" t="inlineStr">
        <is>
          <t>Qwen 3 235B</t>
        </is>
      </c>
      <c r="B6" s="21" t="n">
        <v>0</v>
      </c>
      <c r="C6" s="21" t="n">
        <v>0</v>
      </c>
      <c r="D6" s="21" t="n">
        <v>0</v>
      </c>
      <c r="E6" s="21" t="n">
        <v>0</v>
      </c>
    </row>
    <row r="7">
      <c r="A7" s="9" t="inlineStr">
        <is>
          <t>Gemini 2.5 Flash</t>
        </is>
      </c>
      <c r="B7" s="21" t="n">
        <v>0</v>
      </c>
      <c r="C7" s="20" t="n">
        <v>0.2</v>
      </c>
      <c r="D7" s="21" t="n">
        <v>0</v>
      </c>
      <c r="E7" s="21" t="n">
        <v>0</v>
      </c>
    </row>
    <row r="8">
      <c r="A8" s="9" t="inlineStr">
        <is>
          <t>Claude Haiku 4.5</t>
        </is>
      </c>
      <c r="B8" s="20" t="n">
        <v>0.2</v>
      </c>
      <c r="C8" s="20" t="n">
        <v>0.3</v>
      </c>
      <c r="D8" s="20" t="n">
        <v>0.3</v>
      </c>
      <c r="E8" s="21" t="n">
        <v>0</v>
      </c>
    </row>
    <row r="9">
      <c r="A9" s="9" t="inlineStr">
        <is>
          <t>GigaChat 2 Pro</t>
        </is>
      </c>
      <c r="B9" s="21" t="n">
        <v>0</v>
      </c>
      <c r="C9" s="21" t="n">
        <v>0</v>
      </c>
      <c r="D9" s="21" t="n">
        <v>0</v>
      </c>
      <c r="E9" s="20" t="n">
        <v>0.3</v>
      </c>
    </row>
    <row r="10">
      <c r="A10" s="9" t="inlineStr">
        <is>
          <t>GPT-4.1</t>
        </is>
      </c>
      <c r="B10" s="21" t="n">
        <v>0</v>
      </c>
      <c r="C10" s="21" t="n">
        <v>0</v>
      </c>
      <c r="D10" s="20" t="n">
        <v>0.2</v>
      </c>
      <c r="E10" s="21" t="n">
        <v>0</v>
      </c>
    </row>
    <row r="11">
      <c r="A11" s="9" t="inlineStr">
        <is>
          <t>Claude Sonnet 4.6</t>
        </is>
      </c>
      <c r="B11" s="20" t="n">
        <v>0.1</v>
      </c>
      <c r="C11" s="20" t="n">
        <v>0.1</v>
      </c>
      <c r="D11" s="20" t="n">
        <v>0.5</v>
      </c>
      <c r="E11" s="20" t="n">
        <v>0.1</v>
      </c>
    </row>
    <row r="12">
      <c r="A12" s="9" t="inlineStr">
        <is>
          <t>YandexGPT 5 Pro</t>
        </is>
      </c>
      <c r="B12" s="21" t="n">
        <v>0</v>
      </c>
      <c r="C12" s="21" t="n">
        <v>0</v>
      </c>
      <c r="D12" s="21" t="n">
        <v>0</v>
      </c>
      <c r="E12" s="20" t="n">
        <v>0.6</v>
      </c>
    </row>
    <row r="13">
      <c r="A13" s="22" t="inlineStr">
        <is>
          <t>Сумма (должна = 100%)</t>
        </is>
      </c>
      <c r="B13" s="23">
        <f>SUM(B5:B12)</f>
        <v/>
      </c>
      <c r="C13" s="23">
        <f>SUM(C5:C12)</f>
        <v/>
      </c>
      <c r="D13" s="23">
        <f>SUM(D5:D12)</f>
        <v/>
      </c>
      <c r="E13" s="23">
        <f>SUM(E5:E12)</f>
        <v/>
      </c>
    </row>
    <row r="14">
      <c r="A14" s="15" t="n"/>
      <c r="B14" s="15" t="n"/>
      <c r="C14" s="15" t="n"/>
      <c r="D14" s="15" t="n"/>
      <c r="E14" s="15" t="n"/>
    </row>
    <row r="15">
      <c r="A15" s="19" t="inlineStr">
        <is>
          <t>Себест. ₽/msg</t>
        </is>
      </c>
      <c r="B15" s="24">
        <f>SUMPRODUCT(B5:B12,'3. Цена сообщения'!B5:B12)</f>
        <v/>
      </c>
      <c r="C15" s="24">
        <f>SUMPRODUCT(C5:C12,'3. Цена сообщения'!B5:B12)</f>
        <v/>
      </c>
      <c r="D15" s="24">
        <f>SUMPRODUCT(D5:D12,'3. Цена сообщения'!B5:B12)</f>
        <v/>
      </c>
      <c r="E15" s="24">
        <f>SUMPRODUCT(E5:E12,'3. Цена сообщения'!B5:B12)</f>
        <v/>
      </c>
    </row>
    <row r="16">
      <c r="A16" s="19" t="inlineStr">
        <is>
          <t>Retail ₽/msg</t>
        </is>
      </c>
      <c r="B16" s="25">
        <f>SUMPRODUCT(B5:B12,'3. Цена сообщения'!C5:C12)</f>
        <v/>
      </c>
      <c r="C16" s="25">
        <f>SUMPRODUCT(C5:C12,'3. Цена сообщения'!C5:C12)</f>
        <v/>
      </c>
      <c r="D16" s="25">
        <f>SUMPRODUCT(D5:D12,'3. Цена сообщения'!C5:C12)</f>
        <v/>
      </c>
      <c r="E16" s="25">
        <f>SUMPRODUCT(E5:E12,'3. Цена сообщения'!C5:C12)</f>
        <v/>
      </c>
    </row>
    <row r="17">
      <c r="A17" s="15" t="n"/>
      <c r="B17" s="15" t="n"/>
      <c r="C17" s="15" t="n"/>
      <c r="D17" s="15" t="n"/>
      <c r="E17" s="15" t="n"/>
    </row>
    <row r="18">
      <c r="A18" s="9" t="inlineStr">
        <is>
          <t>50 сообщений (₽)</t>
        </is>
      </c>
      <c r="B18" s="11">
        <f>B16*50</f>
        <v/>
      </c>
      <c r="C18" s="11">
        <f>C16*50</f>
        <v/>
      </c>
      <c r="D18" s="11">
        <f>D16*50</f>
        <v/>
      </c>
      <c r="E18" s="11">
        <f>E16*50</f>
        <v/>
      </c>
    </row>
    <row r="19">
      <c r="A19" s="9" t="inlineStr">
        <is>
          <t>200 сообщений (₽)</t>
        </is>
      </c>
      <c r="B19" s="11">
        <f>B16*200</f>
        <v/>
      </c>
      <c r="C19" s="11">
        <f>C16*200</f>
        <v/>
      </c>
      <c r="D19" s="11">
        <f>D16*200</f>
        <v/>
      </c>
      <c r="E19" s="11">
        <f>E16*200</f>
        <v/>
      </c>
    </row>
    <row r="20">
      <c r="A20" s="9" t="inlineStr">
        <is>
          <t>1 000 сообщений (₽)</t>
        </is>
      </c>
      <c r="B20" s="11">
        <f>B16*1000</f>
        <v/>
      </c>
      <c r="C20" s="11">
        <f>C16*1000</f>
        <v/>
      </c>
      <c r="D20" s="11">
        <f>D16*1000</f>
        <v/>
      </c>
      <c r="E20" s="11">
        <f>E16*1000</f>
        <v/>
      </c>
    </row>
    <row r="21">
      <c r="A21" s="15" t="n"/>
      <c r="B21" s="15" t="n"/>
      <c r="C21" s="15" t="n"/>
      <c r="D21" s="15" t="n"/>
      <c r="E21" s="15" t="n"/>
    </row>
    <row r="22">
      <c r="A22" s="9" t="inlineStr">
        <is>
          <t>Сообщений на 1 000 ₽ кошелёк (Lite)</t>
        </is>
      </c>
      <c r="B22" s="18">
        <f>ROUNDDOWN(1000/B16,0)</f>
        <v/>
      </c>
      <c r="C22" s="18">
        <f>ROUNDDOWN(1000/C16,0)</f>
        <v/>
      </c>
      <c r="D22" s="18">
        <f>ROUNDDOWN(1000/D16,0)</f>
        <v/>
      </c>
      <c r="E22" s="18">
        <f>ROUNDDOWN(1000/E16,0)</f>
        <v/>
      </c>
    </row>
    <row r="23">
      <c r="A23" s="9" t="inlineStr">
        <is>
          <t>Сообщений на 2 500 ₽ (Starter)</t>
        </is>
      </c>
      <c r="B23" s="18">
        <f>ROUNDDOWN(2500/B16,0)</f>
        <v/>
      </c>
      <c r="C23" s="18">
        <f>ROUNDDOWN(2500/C16,0)</f>
        <v/>
      </c>
      <c r="D23" s="18">
        <f>ROUNDDOWN(2500/D16,0)</f>
        <v/>
      </c>
      <c r="E23" s="18">
        <f>ROUNDDOWN(2500/E16,0)</f>
        <v/>
      </c>
    </row>
    <row r="24">
      <c r="A24" s="9" t="inlineStr">
        <is>
          <t>Сообщений на 6 000 ₽ (Pro)</t>
        </is>
      </c>
      <c r="B24" s="18">
        <f>ROUNDDOWN(6000/B16,0)</f>
        <v/>
      </c>
      <c r="C24" s="18">
        <f>ROUNDDOWN(6000/C16,0)</f>
        <v/>
      </c>
      <c r="D24" s="18">
        <f>ROUNDDOWN(6000/D16,0)</f>
        <v/>
      </c>
      <c r="E24" s="18">
        <f>ROUNDDOWN(6000/E16,0)</f>
        <v/>
      </c>
    </row>
    <row r="25">
      <c r="A25" s="9" t="inlineStr">
        <is>
          <t>Сообщений на 18 000 ₽ (Enterprise)</t>
        </is>
      </c>
      <c r="B25" s="18">
        <f>ROUNDDOWN(18000/B16,0)</f>
        <v/>
      </c>
      <c r="C25" s="18">
        <f>ROUNDDOWN(18000/C16,0)</f>
        <v/>
      </c>
      <c r="D25" s="18">
        <f>ROUNDDOWN(18000/D16,0)</f>
        <v/>
      </c>
      <c r="E25" s="18">
        <f>ROUNDDOWN(18000/E16,0)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6" customWidth="1" min="5" max="5"/>
    <col width="16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Маржа платформы при условии что user сжигает весь кошелёк</t>
        </is>
      </c>
    </row>
    <row r="2" ht="32" customHeight="1">
      <c r="A2" s="2" t="inlineStr">
        <is>
          <t>Профиль B (балансный) — типичный SMB. Меняй цены/кошельки в синих ячейках.</t>
        </is>
      </c>
    </row>
    <row r="4" ht="36" customHeight="1">
      <c r="A4" s="8" t="inlineStr">
        <is>
          <t>Тариф</t>
        </is>
      </c>
      <c r="B4" s="8" t="inlineStr">
        <is>
          <t>Цена ₽/мес</t>
        </is>
      </c>
      <c r="C4" s="8" t="inlineStr">
        <is>
          <t>Кошелёк ₽</t>
        </is>
      </c>
      <c r="D4" s="8" t="inlineStr">
        <is>
          <t>LLM-COGS ₽</t>
        </is>
      </c>
      <c r="E4" s="8" t="inlineStr">
        <is>
          <t>Сервер COGS ₽</t>
        </is>
      </c>
      <c r="F4" s="8" t="inlineStr">
        <is>
          <t>Платёжная комиссия (3%)</t>
        </is>
      </c>
      <c r="G4" s="8" t="inlineStr">
        <is>
          <t>Прочее (+10%)</t>
        </is>
      </c>
      <c r="H4" s="8" t="inlineStr">
        <is>
          <t>Маржа ₽/мес</t>
        </is>
      </c>
      <c r="I4" s="8" t="inlineStr">
        <is>
          <t>Маржа %</t>
        </is>
      </c>
    </row>
    <row r="5">
      <c r="A5" s="9" t="inlineStr">
        <is>
          <t>Free</t>
        </is>
      </c>
      <c r="B5" s="17" t="n">
        <v>0</v>
      </c>
      <c r="C5" s="17" t="n">
        <v>500</v>
      </c>
      <c r="D5" s="11">
        <f>C5*'6. Mix-сценарии'!C15/'6. Mix-сценарии'!C16</f>
        <v/>
      </c>
      <c r="E5" s="11" t="n">
        <v>0</v>
      </c>
      <c r="F5" s="11">
        <f>B5*0.03</f>
        <v/>
      </c>
      <c r="G5" s="11">
        <f>B5*0.10</f>
        <v/>
      </c>
      <c r="H5" s="26">
        <f>B5-D5-E5-F5-G5</f>
        <v/>
      </c>
      <c r="I5" s="13">
        <f>IF(B5=0,0,H5/B5)</f>
        <v/>
      </c>
    </row>
    <row r="6">
      <c r="A6" s="9" t="inlineStr">
        <is>
          <t>Lite</t>
        </is>
      </c>
      <c r="B6" s="17" t="n">
        <v>990</v>
      </c>
      <c r="C6" s="17" t="n">
        <v>1000</v>
      </c>
      <c r="D6" s="11">
        <f>C6*'6. Mix-сценарии'!C15/'6. Mix-сценарии'!C16</f>
        <v/>
      </c>
      <c r="E6" s="11" t="n">
        <v>0</v>
      </c>
      <c r="F6" s="11">
        <f>B6*0.03</f>
        <v/>
      </c>
      <c r="G6" s="11">
        <f>B6*0.10</f>
        <v/>
      </c>
      <c r="H6" s="26">
        <f>B6-D6-E6-F6-G6</f>
        <v/>
      </c>
      <c r="I6" s="13">
        <f>IF(B6=0,0,H6/B6)</f>
        <v/>
      </c>
    </row>
    <row r="7">
      <c r="A7" s="9" t="inlineStr">
        <is>
          <t>Starter</t>
        </is>
      </c>
      <c r="B7" s="17" t="n">
        <v>2990</v>
      </c>
      <c r="C7" s="17" t="n">
        <v>2500</v>
      </c>
      <c r="D7" s="11">
        <f>C7*'6. Mix-сценарии'!C15/'6. Mix-сценарии'!C16</f>
        <v/>
      </c>
      <c r="E7" s="11" t="n">
        <v>600</v>
      </c>
      <c r="F7" s="11">
        <f>B7*0.03</f>
        <v/>
      </c>
      <c r="G7" s="11">
        <f>B7*0.10</f>
        <v/>
      </c>
      <c r="H7" s="27">
        <f>B7-D7-E7-F7-G7</f>
        <v/>
      </c>
      <c r="I7" s="13">
        <f>IF(B7=0,0,H7/B7)</f>
        <v/>
      </c>
    </row>
    <row r="8">
      <c r="A8" s="9" t="inlineStr">
        <is>
          <t>Pro</t>
        </is>
      </c>
      <c r="B8" s="17" t="n">
        <v>7990</v>
      </c>
      <c r="C8" s="17" t="n">
        <v>6000</v>
      </c>
      <c r="D8" s="11">
        <f>C8*'6. Mix-сценарии'!C15/'6. Mix-сценарии'!C16</f>
        <v/>
      </c>
      <c r="E8" s="11" t="n">
        <v>3000</v>
      </c>
      <c r="F8" s="11">
        <f>B8*0.03</f>
        <v/>
      </c>
      <c r="G8" s="11">
        <f>B8*0.10</f>
        <v/>
      </c>
      <c r="H8" s="27">
        <f>B8-D8-E8-F8-G8</f>
        <v/>
      </c>
      <c r="I8" s="13">
        <f>IF(B8=0,0,H8/B8)</f>
        <v/>
      </c>
    </row>
    <row r="9">
      <c r="A9" s="9" t="inlineStr">
        <is>
          <t>Enterprise</t>
        </is>
      </c>
      <c r="B9" s="17" t="n">
        <v>19990</v>
      </c>
      <c r="C9" s="17" t="n">
        <v>18000</v>
      </c>
      <c r="D9" s="11">
        <f>C9*'6. Mix-сценарии'!C15/'6. Mix-сценарии'!C16</f>
        <v/>
      </c>
      <c r="E9" s="11" t="n">
        <v>8000</v>
      </c>
      <c r="F9" s="11">
        <f>B9*0.03</f>
        <v/>
      </c>
      <c r="G9" s="11">
        <f>B9*0.10</f>
        <v/>
      </c>
      <c r="H9" s="27">
        <f>B9-D9-E9-F9-G9</f>
        <v/>
      </c>
      <c r="I9" s="13">
        <f>IF(B9=0,0,H9/B9)</f>
        <v/>
      </c>
    </row>
    <row r="12">
      <c r="A12" s="2" t="inlineStr">
        <is>
          <t>Free отрицателен = это lead-magnet. Окупается через 12% conversion в Lite.</t>
        </is>
      </c>
    </row>
    <row r="13">
      <c r="A13" s="2" t="inlineStr">
        <is>
          <t>LLM-COGS считается через Mix-профиль B. Если user полностью на DeepSeek — маржа выше; если на Sonnet — может уйти в минус.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6" customWidth="1" min="4" max="4"/>
    <col width="16" customWidth="1" min="5" max="5"/>
  </cols>
  <sheetData>
    <row r="1">
      <c r="A1" s="1" t="inlineStr">
        <is>
          <t>Чувствительность к размеру сообщения</t>
        </is>
      </c>
    </row>
    <row r="2" ht="32" customHeight="1">
      <c r="A2" s="2" t="inlineStr">
        <is>
          <t>Если средний msg = 4K (мелкие правки) / 8K (стандарт) / 16K (большие фичи) / 30K (полная страница)</t>
        </is>
      </c>
    </row>
    <row r="4" ht="36" customHeight="1">
      <c r="A4" s="8" t="inlineStr">
        <is>
          <t>Модель (на 6 000 ₽ кошелёк = Pro)</t>
        </is>
      </c>
      <c r="B4" s="8" t="inlineStr">
        <is>
          <t>4 000 ток.</t>
        </is>
      </c>
      <c r="C4" s="8" t="inlineStr">
        <is>
          <t>8 000 ток.</t>
        </is>
      </c>
      <c r="D4" s="8" t="inlineStr">
        <is>
          <t>16 000 ток.</t>
        </is>
      </c>
      <c r="E4" s="8" t="inlineStr">
        <is>
          <t>30 000 ток.</t>
        </is>
      </c>
    </row>
    <row r="5">
      <c r="A5" s="9" t="inlineStr">
        <is>
          <t>DeepSeek V3.2</t>
        </is>
      </c>
      <c r="B5" s="18">
        <f>ROUNDDOWN(6000*1000000/('2. Модели LLM'!F5*4000),0)</f>
        <v/>
      </c>
      <c r="C5" s="18">
        <f>ROUNDDOWN(6000*1000000/('2. Модели LLM'!F5*8000),0)</f>
        <v/>
      </c>
      <c r="D5" s="18">
        <f>ROUNDDOWN(6000*1000000/('2. Модели LLM'!F5*16000),0)</f>
        <v/>
      </c>
      <c r="E5" s="18">
        <f>ROUNDDOWN(6000*1000000/('2. Модели LLM'!F5*30000),0)</f>
        <v/>
      </c>
    </row>
    <row r="6">
      <c r="A6" s="9" t="inlineStr">
        <is>
          <t>Qwen 3 235B (self-hosted)</t>
        </is>
      </c>
      <c r="B6" s="18">
        <f>ROUNDDOWN(6000*1000000/('2. Модели LLM'!F6*4000),0)</f>
        <v/>
      </c>
      <c r="C6" s="18">
        <f>ROUNDDOWN(6000*1000000/('2. Модели LLM'!F6*8000),0)</f>
        <v/>
      </c>
      <c r="D6" s="18">
        <f>ROUNDDOWN(6000*1000000/('2. Модели LLM'!F6*16000),0)</f>
        <v/>
      </c>
      <c r="E6" s="18">
        <f>ROUNDDOWN(6000*1000000/('2. Модели LLM'!F6*30000),0)</f>
        <v/>
      </c>
    </row>
    <row r="7">
      <c r="A7" s="9" t="inlineStr">
        <is>
          <t>Gemini 2.5 Flash</t>
        </is>
      </c>
      <c r="B7" s="18">
        <f>ROUNDDOWN(6000*1000000/('2. Модели LLM'!F7*4000),0)</f>
        <v/>
      </c>
      <c r="C7" s="18">
        <f>ROUNDDOWN(6000*1000000/('2. Модели LLM'!F7*8000),0)</f>
        <v/>
      </c>
      <c r="D7" s="18">
        <f>ROUNDDOWN(6000*1000000/('2. Модели LLM'!F7*16000),0)</f>
        <v/>
      </c>
      <c r="E7" s="18">
        <f>ROUNDDOWN(6000*1000000/('2. Модели LLM'!F7*30000),0)</f>
        <v/>
      </c>
    </row>
    <row r="8">
      <c r="A8" s="9" t="inlineStr">
        <is>
          <t>Claude Haiku 4.5</t>
        </is>
      </c>
      <c r="B8" s="18">
        <f>ROUNDDOWN(6000*1000000/('2. Модели LLM'!F8*4000),0)</f>
        <v/>
      </c>
      <c r="C8" s="18">
        <f>ROUNDDOWN(6000*1000000/('2. Модели LLM'!F8*8000),0)</f>
        <v/>
      </c>
      <c r="D8" s="18">
        <f>ROUNDDOWN(6000*1000000/('2. Модели LLM'!F8*16000),0)</f>
        <v/>
      </c>
      <c r="E8" s="18">
        <f>ROUNDDOWN(6000*1000000/('2. Модели LLM'!F8*30000),0)</f>
        <v/>
      </c>
    </row>
    <row r="9">
      <c r="A9" s="9" t="inlineStr">
        <is>
          <t>GigaChat 2 Pro</t>
        </is>
      </c>
      <c r="B9" s="18">
        <f>ROUNDDOWN(6000*1000000/('2. Модели LLM'!F9*4000),0)</f>
        <v/>
      </c>
      <c r="C9" s="18">
        <f>ROUNDDOWN(6000*1000000/('2. Модели LLM'!F9*8000),0)</f>
        <v/>
      </c>
      <c r="D9" s="18">
        <f>ROUNDDOWN(6000*1000000/('2. Модели LLM'!F9*16000),0)</f>
        <v/>
      </c>
      <c r="E9" s="18">
        <f>ROUNDDOWN(6000*1000000/('2. Модели LLM'!F9*30000),0)</f>
        <v/>
      </c>
    </row>
    <row r="10">
      <c r="A10" s="9" t="inlineStr">
        <is>
          <t>GPT-4.1</t>
        </is>
      </c>
      <c r="B10" s="18">
        <f>ROUNDDOWN(6000*1000000/('2. Модели LLM'!F10*4000),0)</f>
        <v/>
      </c>
      <c r="C10" s="18">
        <f>ROUNDDOWN(6000*1000000/('2. Модели LLM'!F10*8000),0)</f>
        <v/>
      </c>
      <c r="D10" s="18">
        <f>ROUNDDOWN(6000*1000000/('2. Модели LLM'!F10*16000),0)</f>
        <v/>
      </c>
      <c r="E10" s="18">
        <f>ROUNDDOWN(6000*1000000/('2. Модели LLM'!F10*30000),0)</f>
        <v/>
      </c>
    </row>
    <row r="11">
      <c r="A11" s="9" t="inlineStr">
        <is>
          <t>Claude Sonnet 4.6</t>
        </is>
      </c>
      <c r="B11" s="18">
        <f>ROUNDDOWN(6000*1000000/('2. Модели LLM'!F11*4000),0)</f>
        <v/>
      </c>
      <c r="C11" s="18">
        <f>ROUNDDOWN(6000*1000000/('2. Модели LLM'!F11*8000),0)</f>
        <v/>
      </c>
      <c r="D11" s="18">
        <f>ROUNDDOWN(6000*1000000/('2. Модели LLM'!F11*16000),0)</f>
        <v/>
      </c>
      <c r="E11" s="18">
        <f>ROUNDDOWN(6000*1000000/('2. Модели LLM'!F11*30000),0)</f>
        <v/>
      </c>
    </row>
    <row r="12">
      <c r="A12" s="9" t="inlineStr">
        <is>
          <t>YandexGPT 5 Pro</t>
        </is>
      </c>
      <c r="B12" s="18">
        <f>ROUNDDOWN(6000*1000000/('2. Модели LLM'!F12*4000),0)</f>
        <v/>
      </c>
      <c r="C12" s="18">
        <f>ROUNDDOWN(6000*1000000/('2. Модели LLM'!F12*8000),0)</f>
        <v/>
      </c>
      <c r="D12" s="18">
        <f>ROUNDDOWN(6000*1000000/('2. Модели LLM'!F12*16000),0)</f>
        <v/>
      </c>
      <c r="E12" s="18">
        <f>ROUNDDOWN(6000*1000000/('2. Модели LLM'!F12*30000),0)</f>
        <v/>
      </c>
    </row>
    <row r="14">
      <c r="A14" s="2" t="inlineStr">
        <is>
          <t>Размер сообщения зависит от сложности задачи.</t>
        </is>
      </c>
    </row>
    <row r="15">
      <c r="A15" s="2" t="inlineStr">
        <is>
          <t>• 4K — «измени цвет», «передвинь блок» (мелкие правки)</t>
        </is>
      </c>
    </row>
    <row r="16">
      <c r="A16" s="2" t="inlineStr">
        <is>
          <t>• 8K — стандарт: добавить секцию, изменить логику формы</t>
        </is>
      </c>
    </row>
    <row r="17">
      <c r="A17" s="2" t="inlineStr">
        <is>
          <t>• 16K — фича целиком: новая страница с интеграцией</t>
        </is>
      </c>
    </row>
    <row r="18">
      <c r="A18" s="2" t="inlineStr">
        <is>
          <t>• 30K — полная переделка: миграция БД + рефактор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Дополнительные пакеты токенов поверх подписки</t>
        </is>
      </c>
    </row>
    <row r="2" ht="32" customHeight="1">
      <c r="A2" s="2" t="inlineStr">
        <is>
          <t>Скидка на крупные пакеты — стимул retention и upsell.</t>
        </is>
      </c>
    </row>
    <row r="4" ht="36" customHeight="1">
      <c r="A4" s="8" t="inlineStr">
        <is>
          <t>Пакет (номинал)</t>
        </is>
      </c>
      <c r="B4" s="8" t="inlineStr">
        <is>
          <t>Цена клиенту</t>
        </is>
      </c>
      <c r="C4" s="8" t="inlineStr">
        <is>
          <t>Скидка</t>
        </is>
      </c>
      <c r="D4" s="8" t="inlineStr">
        <is>
          <t>DeepSeek msg</t>
        </is>
      </c>
      <c r="E4" s="8" t="inlineStr">
        <is>
          <t>Haiku msg</t>
        </is>
      </c>
      <c r="F4" s="8" t="inlineStr">
        <is>
          <t>Sonnet msg</t>
        </is>
      </c>
      <c r="G4" s="8" t="inlineStr">
        <is>
          <t>YandexGPT msg</t>
        </is>
      </c>
    </row>
    <row r="5">
      <c r="A5" s="9" t="inlineStr">
        <is>
          <t>500 ₽</t>
        </is>
      </c>
      <c r="B5" s="17" t="n">
        <v>500</v>
      </c>
      <c r="C5" s="28" t="n">
        <v>0</v>
      </c>
      <c r="D5" s="18">
        <f>ROUNDDOWN(500/'3. Цена сообщения'!C5,0)</f>
        <v/>
      </c>
      <c r="E5" s="18">
        <f>ROUNDDOWN(500/'3. Цена сообщения'!C8,0)</f>
        <v/>
      </c>
      <c r="F5" s="18">
        <f>ROUNDDOWN(500/'3. Цена сообщения'!C11,0)</f>
        <v/>
      </c>
      <c r="G5" s="18">
        <f>ROUNDDOWN(500/'3. Цена сообщения'!C12,0)</f>
        <v/>
      </c>
    </row>
    <row r="6">
      <c r="A6" s="9" t="inlineStr">
        <is>
          <t>2 000 ₽</t>
        </is>
      </c>
      <c r="B6" s="17" t="n">
        <v>1800</v>
      </c>
      <c r="C6" s="28" t="n">
        <v>0.1</v>
      </c>
      <c r="D6" s="18">
        <f>ROUNDDOWN(2000/'3. Цена сообщения'!C5,0)</f>
        <v/>
      </c>
      <c r="E6" s="18">
        <f>ROUNDDOWN(2000/'3. Цена сообщения'!C8,0)</f>
        <v/>
      </c>
      <c r="F6" s="18">
        <f>ROUNDDOWN(2000/'3. Цена сообщения'!C11,0)</f>
        <v/>
      </c>
      <c r="G6" s="18">
        <f>ROUNDDOWN(2000/'3. Цена сообщения'!C12,0)</f>
        <v/>
      </c>
    </row>
    <row r="7">
      <c r="A7" s="9" t="inlineStr">
        <is>
          <t>5 000 ₽</t>
        </is>
      </c>
      <c r="B7" s="17" t="n">
        <v>4250</v>
      </c>
      <c r="C7" s="28" t="n">
        <v>0.15</v>
      </c>
      <c r="D7" s="18">
        <f>ROUNDDOWN(5000/'3. Цена сообщения'!C5,0)</f>
        <v/>
      </c>
      <c r="E7" s="18">
        <f>ROUNDDOWN(5000/'3. Цена сообщения'!C8,0)</f>
        <v/>
      </c>
      <c r="F7" s="18">
        <f>ROUNDDOWN(5000/'3. Цена сообщения'!C11,0)</f>
        <v/>
      </c>
      <c r="G7" s="18">
        <f>ROUNDDOWN(5000/'3. Цена сообщения'!C12,0)</f>
        <v/>
      </c>
    </row>
    <row r="8">
      <c r="A8" s="9" t="inlineStr">
        <is>
          <t>10 000 ₽</t>
        </is>
      </c>
      <c r="B8" s="17" t="n">
        <v>8000</v>
      </c>
      <c r="C8" s="28" t="n">
        <v>0.2</v>
      </c>
      <c r="D8" s="18">
        <f>ROUNDDOWN(10000/'3. Цена сообщения'!C5,0)</f>
        <v/>
      </c>
      <c r="E8" s="18">
        <f>ROUNDDOWN(10000/'3. Цена сообщения'!C8,0)</f>
        <v/>
      </c>
      <c r="F8" s="18">
        <f>ROUNDDOWN(10000/'3. Цена сообщения'!C11,0)</f>
        <v/>
      </c>
      <c r="G8" s="18">
        <f>ROUNDDOWN(10000/'3. Цена сообщения'!C12,0)</f>
        <v/>
      </c>
    </row>
    <row r="9">
      <c r="A9" s="9" t="inlineStr">
        <is>
          <t>25 000 ₽</t>
        </is>
      </c>
      <c r="B9" s="17" t="n">
        <v>18750</v>
      </c>
      <c r="C9" s="28" t="n">
        <v>0.25</v>
      </c>
      <c r="D9" s="18">
        <f>ROUNDDOWN(25000/'3. Цена сообщения'!C5,0)</f>
        <v/>
      </c>
      <c r="E9" s="18">
        <f>ROUNDDOWN(25000/'3. Цена сообщения'!C8,0)</f>
        <v/>
      </c>
      <c r="F9" s="18">
        <f>ROUNDDOWN(25000/'3. Цена сообщения'!C11,0)</f>
        <v/>
      </c>
      <c r="G9" s="18">
        <f>ROUNDDOWN(25000/'3. Цена сообщения'!C12,0)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4" customWidth="1" min="4" max="4"/>
    <col width="36" customWidth="1" min="5" max="5"/>
  </cols>
  <sheetData>
    <row r="1">
      <c r="A1" s="1" t="inlineStr">
        <is>
          <t>Типичная нагрузка на 1 проект — сколько сообщений в месяц</t>
        </is>
      </c>
    </row>
    <row r="2" ht="32" customHeight="1">
      <c r="A2" s="2" t="inlineStr">
        <is>
          <t>Зависит от типа проекта и стадии жизненного цикла. Цифры — оценка по бенчмаркам Lovable/Cursor/v0.</t>
        </is>
      </c>
    </row>
    <row r="4" ht="36" customHeight="1">
      <c r="A4" s="8" t="inlineStr">
        <is>
          <t>Тип проекта</t>
        </is>
      </c>
      <c r="B4" s="8" t="inlineStr">
        <is>
          <t>Стадия</t>
        </is>
      </c>
      <c r="C4" s="8" t="inlineStr">
        <is>
          <t>Сообщений/мес (диапазон)</t>
        </is>
      </c>
      <c r="D4" s="8" t="inlineStr">
        <is>
          <t>Среднее</t>
        </is>
      </c>
      <c r="E4" s="8" t="inlineStr">
        <is>
          <t>На каком тарифе сидит юзер</t>
        </is>
      </c>
    </row>
    <row r="5">
      <c r="A5" s="9" t="inlineStr">
        <is>
          <t>Лендинг (1 страница)</t>
        </is>
      </c>
      <c r="B5" s="9" t="inlineStr">
        <is>
          <t>Сборка с нуля</t>
        </is>
      </c>
      <c r="C5" s="29" t="inlineStr">
        <is>
          <t>30–60</t>
        </is>
      </c>
      <c r="D5" s="30" t="n">
        <v>45</v>
      </c>
      <c r="E5" s="31" t="inlineStr">
        <is>
          <t>Lite (266 msg на бал.) ✓</t>
        </is>
      </c>
    </row>
    <row r="6">
      <c r="A6" s="9" t="inlineStr">
        <is>
          <t>Лендинг</t>
        </is>
      </c>
      <c r="B6" s="9" t="inlineStr">
        <is>
          <t>Активные правки (1-2 нед)</t>
        </is>
      </c>
      <c r="C6" s="29" t="inlineStr">
        <is>
          <t>20–40</t>
        </is>
      </c>
      <c r="D6" s="30" t="n">
        <v>30</v>
      </c>
      <c r="E6" s="31" t="inlineStr">
        <is>
          <t>Lite ✓</t>
        </is>
      </c>
    </row>
    <row r="7">
      <c r="A7" s="9" t="inlineStr">
        <is>
          <t>Лендинг</t>
        </is>
      </c>
      <c r="B7" s="9" t="inlineStr">
        <is>
          <t>Поддержка / месяц</t>
        </is>
      </c>
      <c r="C7" s="29" t="inlineStr">
        <is>
          <t>5–15</t>
        </is>
      </c>
      <c r="D7" s="30" t="n">
        <v>10</v>
      </c>
      <c r="E7" s="31" t="inlineStr">
        <is>
          <t>Lite ✓</t>
        </is>
      </c>
    </row>
    <row r="8">
      <c r="A8" s="9" t="inlineStr">
        <is>
          <t>Магазин e-commerce</t>
        </is>
      </c>
      <c r="B8" s="9" t="inlineStr">
        <is>
          <t>Сборка с нуля</t>
        </is>
      </c>
      <c r="C8" s="29" t="inlineStr">
        <is>
          <t>80–150</t>
        </is>
      </c>
      <c r="D8" s="30" t="n">
        <v>120</v>
      </c>
      <c r="E8" s="31" t="inlineStr">
        <is>
          <t>Starter (502) ✓</t>
        </is>
      </c>
    </row>
    <row r="9">
      <c r="A9" s="9" t="inlineStr">
        <is>
          <t>Магазин</t>
        </is>
      </c>
      <c r="B9" s="9" t="inlineStr">
        <is>
          <t>Добавление товаров / правки</t>
        </is>
      </c>
      <c r="C9" s="29" t="inlineStr">
        <is>
          <t>30–60</t>
        </is>
      </c>
      <c r="D9" s="30" t="n">
        <v>45</v>
      </c>
      <c r="E9" s="31" t="inlineStr">
        <is>
          <t>Lite ✓</t>
        </is>
      </c>
    </row>
    <row r="10">
      <c r="A10" s="9" t="inlineStr">
        <is>
          <t>Магазин</t>
        </is>
      </c>
      <c r="B10" s="9" t="inlineStr">
        <is>
          <t>Сезон / маркетинг (распродажа)</t>
        </is>
      </c>
      <c r="C10" s="29" t="inlineStr">
        <is>
          <t>60–120</t>
        </is>
      </c>
      <c r="D10" s="30" t="n">
        <v>90</v>
      </c>
      <c r="E10" s="31" t="inlineStr">
        <is>
          <t>Starter ✓</t>
        </is>
      </c>
    </row>
    <row r="11">
      <c r="A11" s="9" t="inlineStr">
        <is>
          <t>Корп-сайт SMB</t>
        </is>
      </c>
      <c r="B11" s="9" t="inlineStr">
        <is>
          <t>Сборка с нуля</t>
        </is>
      </c>
      <c r="C11" s="29" t="inlineStr">
        <is>
          <t>60–120</t>
        </is>
      </c>
      <c r="D11" s="30" t="n">
        <v>90</v>
      </c>
      <c r="E11" s="31" t="inlineStr">
        <is>
          <t>Starter ✓</t>
        </is>
      </c>
    </row>
    <row r="12">
      <c r="A12" s="9" t="inlineStr">
        <is>
          <t>Корп-сайт</t>
        </is>
      </c>
      <c r="B12" s="9" t="inlineStr">
        <is>
          <t>Поддержка</t>
        </is>
      </c>
      <c r="C12" s="29" t="inlineStr">
        <is>
          <t>15–30</t>
        </is>
      </c>
      <c r="D12" s="30" t="n">
        <v>22</v>
      </c>
      <c r="E12" s="31" t="inlineStr">
        <is>
          <t>Lite ✓</t>
        </is>
      </c>
    </row>
    <row r="13">
      <c r="A13" s="9" t="inlineStr">
        <is>
          <t>Портфолио / визитка</t>
        </is>
      </c>
      <c r="B13" s="9" t="inlineStr">
        <is>
          <t>Сборка с нуля</t>
        </is>
      </c>
      <c r="C13" s="29" t="inlineStr">
        <is>
          <t>20–50</t>
        </is>
      </c>
      <c r="D13" s="30" t="n">
        <v>35</v>
      </c>
      <c r="E13" s="31" t="inlineStr">
        <is>
          <t>Lite ✓</t>
        </is>
      </c>
    </row>
    <row r="14">
      <c r="A14" s="9" t="inlineStr">
        <is>
          <t>Портфолио</t>
        </is>
      </c>
      <c r="B14" s="9" t="inlineStr">
        <is>
          <t>Обновление работ</t>
        </is>
      </c>
      <c r="C14" s="29" t="inlineStr">
        <is>
          <t>5–15</t>
        </is>
      </c>
      <c r="D14" s="30" t="n">
        <v>10</v>
      </c>
      <c r="E14" s="31" t="inlineStr">
        <is>
          <t>Lite ✓</t>
        </is>
      </c>
    </row>
    <row r="15">
      <c r="A15" s="9" t="inlineStr">
        <is>
          <t>SaaS-MVP с backend</t>
        </is>
      </c>
      <c r="B15" s="9" t="inlineStr">
        <is>
          <t>Сборка с нуля</t>
        </is>
      </c>
      <c r="C15" s="29" t="inlineStr">
        <is>
          <t>200–400</t>
        </is>
      </c>
      <c r="D15" s="30" t="n">
        <v>300</v>
      </c>
      <c r="E15" s="31" t="inlineStr">
        <is>
          <t>Pro (1 205) ✓</t>
        </is>
      </c>
    </row>
    <row r="16">
      <c r="A16" s="9" t="inlineStr">
        <is>
          <t>SaaS-MVP</t>
        </is>
      </c>
      <c r="B16" s="9" t="inlineStr">
        <is>
          <t>Активный рост / новые фичи</t>
        </is>
      </c>
      <c r="C16" s="29" t="inlineStr">
        <is>
          <t>100–250</t>
        </is>
      </c>
      <c r="D16" s="30" t="n">
        <v>175</v>
      </c>
      <c r="E16" s="31" t="inlineStr">
        <is>
          <t>Pro ✓</t>
        </is>
      </c>
    </row>
    <row r="17">
      <c r="A17" s="9" t="inlineStr">
        <is>
          <t>SaaS-MVP</t>
        </is>
      </c>
      <c r="B17" s="9" t="inlineStr">
        <is>
          <t>Поддержка после релиза</t>
        </is>
      </c>
      <c r="C17" s="29" t="inlineStr">
        <is>
          <t>30–80</t>
        </is>
      </c>
      <c r="D17" s="30" t="n">
        <v>55</v>
      </c>
      <c r="E17" s="31" t="inlineStr">
        <is>
          <t>Starter ✓</t>
        </is>
      </c>
    </row>
    <row r="18">
      <c r="A18" s="9" t="inlineStr">
        <is>
          <t>Чат-бот TG/VK</t>
        </is>
      </c>
      <c r="B18" s="9" t="inlineStr">
        <is>
          <t>Сборка с нуля</t>
        </is>
      </c>
      <c r="C18" s="29" t="inlineStr">
        <is>
          <t>50–100</t>
        </is>
      </c>
      <c r="D18" s="30" t="n">
        <v>75</v>
      </c>
      <c r="E18" s="31" t="inlineStr">
        <is>
          <t>Starter ✓</t>
        </is>
      </c>
    </row>
    <row r="19">
      <c r="A19" s="9" t="inlineStr">
        <is>
          <t>Чат-бот</t>
        </is>
      </c>
      <c r="B19" s="9" t="inlineStr">
        <is>
          <t>Расширение сценариев</t>
        </is>
      </c>
      <c r="C19" s="29" t="inlineStr">
        <is>
          <t>20–50</t>
        </is>
      </c>
      <c r="D19" s="30" t="n">
        <v>35</v>
      </c>
      <c r="E19" s="31" t="inlineStr">
        <is>
          <t>Lite ✓</t>
        </is>
      </c>
    </row>
    <row r="20">
      <c r="A20" s="9" t="inlineStr">
        <is>
          <t>Бизнес-автоматизация</t>
        </is>
      </c>
      <c r="B20" s="9" t="inlineStr">
        <is>
          <t>Сборка пайплайна</t>
        </is>
      </c>
      <c r="C20" s="29" t="inlineStr">
        <is>
          <t>150–300</t>
        </is>
      </c>
      <c r="D20" s="30" t="n">
        <v>225</v>
      </c>
      <c r="E20" s="31" t="inlineStr">
        <is>
          <t>Pro ✓</t>
        </is>
      </c>
    </row>
    <row r="21">
      <c r="A21" s="9" t="inlineStr">
        <is>
          <t>Бизнес-автоматизация</t>
        </is>
      </c>
      <c r="B21" s="9" t="inlineStr">
        <is>
          <t>Поддержка интеграций</t>
        </is>
      </c>
      <c r="C21" s="29" t="inlineStr">
        <is>
          <t>40–80</t>
        </is>
      </c>
      <c r="D21" s="30" t="n">
        <v>60</v>
      </c>
      <c r="E21" s="31" t="inlineStr">
        <is>
          <t>Starter ✓</t>
        </is>
      </c>
    </row>
    <row r="22">
      <c r="A22" s="9" t="inlineStr">
        <is>
          <t>Агентство · 5 клиентов параллельно</t>
        </is>
      </c>
      <c r="B22" s="9" t="inlineStr">
        <is>
          <t>Активная разработка</t>
        </is>
      </c>
      <c r="C22" s="29" t="inlineStr">
        <is>
          <t>500–1000</t>
        </is>
      </c>
      <c r="D22" s="30" t="n">
        <v>750</v>
      </c>
      <c r="E22" s="31" t="inlineStr">
        <is>
          <t>Enterprise (3 614) ✓</t>
        </is>
      </c>
    </row>
    <row r="25" ht="22" customHeight="1">
      <c r="A25" s="3" t="inlineStr">
        <is>
          <t>ВЫВОДЫ</t>
        </is>
      </c>
    </row>
    <row r="26">
      <c r="A26" s="6" t="inlineStr">
        <is>
          <t>• 80% SMB-проектов укладываются в Lite (1 000 ₽ кошелёк = 200 msg на бал. mix).</t>
        </is>
      </c>
    </row>
    <row r="27">
      <c r="A27" s="6" t="inlineStr">
        <is>
          <t>• Сборка магазина / SaaS требует Starter или Pro в первый месяц, потом downgrade.</t>
        </is>
      </c>
    </row>
    <row r="28">
      <c r="A28" s="6" t="inlineStr">
        <is>
          <t>• Pro оправдан только при 200+ msg/мес — это активная разработка SaaS-MVP, чат-боты, или 2-3 проекта одновременно.</t>
        </is>
      </c>
    </row>
    <row r="29">
      <c r="A29" s="6" t="inlineStr">
        <is>
          <t>• Enterprise — для агентств с 5+ клиентами одновременно или больших проектов 1 000+ msg.</t>
        </is>
      </c>
    </row>
    <row r="30">
      <c r="A30" s="6" t="inlineStr">
        <is>
          <t>• Реальный паттерн: первый месяц активной сборки — выше тариф, потом downgrade на поддержку. Учитываем в churn-ставке.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6" customWidth="1" min="3" max="3"/>
    <col width="18" customWidth="1" min="4" max="4"/>
    <col width="18" customWidth="1" min="5" max="5"/>
    <col width="26" customWidth="1" min="6" max="6"/>
    <col width="24" customWidth="1" min="7" max="7"/>
  </cols>
  <sheetData>
    <row r="1">
      <c r="A1" s="1" t="inlineStr">
        <is>
          <t>Что даёт кеширование промптов (когда 70% input — cache hit)</t>
        </is>
      </c>
    </row>
    <row r="2" ht="32" customHeight="1">
      <c r="A2" s="2" t="inlineStr">
        <is>
          <t>Anthropic / OpenAI / Google: cached input reads = 10% от raw input. На повторных запросах в сессии это +10-20% margin.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4" t="inlineStr">
        <is>
          <t>Cache hit rate</t>
        </is>
      </c>
      <c r="B5" s="32" t="n">
        <v>0.7</v>
      </c>
      <c r="C5" s="6" t="inlineStr">
        <is>
          <t>Доля input-токенов из cache (типично для повторных запросов в сессии)</t>
        </is>
      </c>
    </row>
    <row r="6">
      <c r="A6" s="4" t="inlineStr">
        <is>
          <t>Cache read price (доля от raw input)</t>
        </is>
      </c>
      <c r="B6" s="32" t="n">
        <v>0.1</v>
      </c>
      <c r="C6" s="6" t="inlineStr">
        <is>
          <t>Anthropic/OpenAI стандарт: −90% на cached reads</t>
        </is>
      </c>
    </row>
    <row r="8">
      <c r="A8" s="33" t="inlineStr">
        <is>
          <t>Эффективный множитель input</t>
        </is>
      </c>
      <c r="B8" s="34">
        <f>1-B5*(1-B6)</f>
        <v/>
      </c>
      <c r="C8" s="2" t="inlineStr">
        <is>
          <t>0.37 при 70% hit / 10% read price → −63% на input</t>
        </is>
      </c>
    </row>
    <row r="11" ht="36" customHeight="1">
      <c r="A11" s="8" t="inlineStr">
        <is>
          <t>Модель</t>
        </is>
      </c>
      <c r="B11" s="8" t="inlineStr">
        <is>
          <t>Без кеша · cost/msg</t>
        </is>
      </c>
      <c r="C11" s="8" t="inlineStr">
        <is>
          <t>С кешем · cost/msg</t>
        </is>
      </c>
      <c r="D11" s="8" t="inlineStr">
        <is>
          <t>Экономия %</t>
        </is>
      </c>
      <c r="E11" s="8" t="inlineStr">
        <is>
          <t>Без · retail/msg</t>
        </is>
      </c>
      <c r="F11" s="8" t="inlineStr">
        <is>
          <t>С · retail/msg</t>
        </is>
      </c>
      <c r="G11" s="8" t="inlineStr">
        <is>
          <t>Экономия для нас ₽/msg</t>
        </is>
      </c>
    </row>
    <row r="12">
      <c r="A12" s="9" t="inlineStr">
        <is>
          <t>DeepSeek V3.2</t>
        </is>
      </c>
      <c r="B12" s="12">
        <f>'3. Цена сообщения'!B5</f>
        <v/>
      </c>
      <c r="C12" s="35">
        <f>(0.28*(1-'1. Параметры'!$B$7)*$B$8+0.42*'1. Параметры'!$B$7)*'1. Параметры'!$B$5*'1. Параметры'!$B$8/1000000</f>
        <v/>
      </c>
      <c r="D12" s="13">
        <f>(B12-C12)/B12</f>
        <v/>
      </c>
      <c r="E12" s="12">
        <f>'3. Цена сообщения'!C5</f>
        <v/>
      </c>
      <c r="F12" s="12">
        <f>C12*'1. Параметры'!$B$6</f>
        <v/>
      </c>
      <c r="G12" s="36">
        <f>B12-C12</f>
        <v/>
      </c>
    </row>
    <row r="13">
      <c r="A13" s="9" t="inlineStr">
        <is>
          <t>Qwen 3 235B (self-hosted)</t>
        </is>
      </c>
      <c r="B13" s="12">
        <f>'3. Цена сообщения'!B6</f>
        <v/>
      </c>
      <c r="C13" s="35">
        <f>(0.5*(1-'1. Параметры'!$B$7)*$B$8+0.5*'1. Параметры'!$B$7)*'1. Параметры'!$B$5*'1. Параметры'!$B$8/1000000</f>
        <v/>
      </c>
      <c r="D13" s="13">
        <f>(B13-C13)/B13</f>
        <v/>
      </c>
      <c r="E13" s="12">
        <f>'3. Цена сообщения'!C6</f>
        <v/>
      </c>
      <c r="F13" s="12">
        <f>C13*'1. Параметры'!$B$6</f>
        <v/>
      </c>
      <c r="G13" s="36">
        <f>B13-C13</f>
        <v/>
      </c>
    </row>
    <row r="14">
      <c r="A14" s="9" t="inlineStr">
        <is>
          <t>Gemini 2.5 Flash</t>
        </is>
      </c>
      <c r="B14" s="12">
        <f>'3. Цена сообщения'!B7</f>
        <v/>
      </c>
      <c r="C14" s="35">
        <f>(0.3*(1-'1. Параметры'!$B$7)*$B$8+2.5*'1. Параметры'!$B$7)*'1. Параметры'!$B$5*'1. Параметры'!$B$8/1000000</f>
        <v/>
      </c>
      <c r="D14" s="13">
        <f>(B14-C14)/B14</f>
        <v/>
      </c>
      <c r="E14" s="12">
        <f>'3. Цена сообщения'!C7</f>
        <v/>
      </c>
      <c r="F14" s="12">
        <f>C14*'1. Параметры'!$B$6</f>
        <v/>
      </c>
      <c r="G14" s="36">
        <f>B14-C14</f>
        <v/>
      </c>
    </row>
    <row r="15">
      <c r="A15" s="9" t="inlineStr">
        <is>
          <t>Claude Haiku 4.5</t>
        </is>
      </c>
      <c r="B15" s="12">
        <f>'3. Цена сообщения'!B8</f>
        <v/>
      </c>
      <c r="C15" s="35">
        <f>(1.0*(1-'1. Параметры'!$B$7)*$B$8+5.0*'1. Параметры'!$B$7)*'1. Параметры'!$B$5*'1. Параметры'!$B$8/1000000</f>
        <v/>
      </c>
      <c r="D15" s="13">
        <f>(B15-C15)/B15</f>
        <v/>
      </c>
      <c r="E15" s="12">
        <f>'3. Цена сообщения'!C8</f>
        <v/>
      </c>
      <c r="F15" s="12">
        <f>C15*'1. Параметры'!$B$6</f>
        <v/>
      </c>
      <c r="G15" s="36">
        <f>B15-C15</f>
        <v/>
      </c>
    </row>
    <row r="16">
      <c r="A16" s="9" t="inlineStr">
        <is>
          <t>GigaChat 2 Pro</t>
        </is>
      </c>
      <c r="B16" s="12">
        <f>'3. Цена сообщения'!B9</f>
        <v/>
      </c>
      <c r="C16" s="35">
        <f>(5.0*(1-'1. Параметры'!$B$7)*$B$8+5.0*'1. Параметры'!$B$7)*'1. Параметры'!$B$5*'1. Параметры'!$B$8/1000000</f>
        <v/>
      </c>
      <c r="D16" s="13">
        <f>(B16-C16)/B16</f>
        <v/>
      </c>
      <c r="E16" s="12">
        <f>'3. Цена сообщения'!C9</f>
        <v/>
      </c>
      <c r="F16" s="12">
        <f>C16*'1. Параметры'!$B$6</f>
        <v/>
      </c>
      <c r="G16" s="36">
        <f>B16-C16</f>
        <v/>
      </c>
    </row>
    <row r="17">
      <c r="A17" s="9" t="inlineStr">
        <is>
          <t>GPT-4.1</t>
        </is>
      </c>
      <c r="B17" s="12">
        <f>'3. Цена сообщения'!B10</f>
        <v/>
      </c>
      <c r="C17" s="35">
        <f>(2.0*(1-'1. Параметры'!$B$7)*$B$8+8.0*'1. Параметры'!$B$7)*'1. Параметры'!$B$5*'1. Параметры'!$B$8/1000000</f>
        <v/>
      </c>
      <c r="D17" s="13">
        <f>(B17-C17)/B17</f>
        <v/>
      </c>
      <c r="E17" s="12">
        <f>'3. Цена сообщения'!C10</f>
        <v/>
      </c>
      <c r="F17" s="12">
        <f>C17*'1. Параметры'!$B$6</f>
        <v/>
      </c>
      <c r="G17" s="36">
        <f>B17-C17</f>
        <v/>
      </c>
    </row>
    <row r="18">
      <c r="A18" s="9" t="inlineStr">
        <is>
          <t>Claude Sonnet 4.6</t>
        </is>
      </c>
      <c r="B18" s="12">
        <f>'3. Цена сообщения'!B11</f>
        <v/>
      </c>
      <c r="C18" s="35">
        <f>(3.0*(1-'1. Параметры'!$B$7)*$B$8+15.0*'1. Параметры'!$B$7)*'1. Параметры'!$B$5*'1. Параметры'!$B$8/1000000</f>
        <v/>
      </c>
      <c r="D18" s="13">
        <f>(B18-C18)/B18</f>
        <v/>
      </c>
      <c r="E18" s="12">
        <f>'3. Цена сообщения'!C11</f>
        <v/>
      </c>
      <c r="F18" s="12">
        <f>C18*'1. Параметры'!$B$6</f>
        <v/>
      </c>
      <c r="G18" s="36">
        <f>B18-C18</f>
        <v/>
      </c>
    </row>
    <row r="19">
      <c r="A19" s="9" t="inlineStr">
        <is>
          <t>YandexGPT 5 Pro</t>
        </is>
      </c>
      <c r="B19" s="12">
        <f>'3. Цена сообщения'!B12</f>
        <v/>
      </c>
      <c r="C19" s="35">
        <f>(8.0*(1-'1. Параметры'!$B$7)*$B$8+16.0*'1. Параметры'!$B$7)*'1. Параметры'!$B$5*'1. Параметры'!$B$8/1000000</f>
        <v/>
      </c>
      <c r="D19" s="13">
        <f>(B19-C19)/B19</f>
        <v/>
      </c>
      <c r="E19" s="12">
        <f>'3. Цена сообщения'!C12</f>
        <v/>
      </c>
      <c r="F19" s="12">
        <f>C19*'1. Параметры'!$B$6</f>
        <v/>
      </c>
      <c r="G19" s="36">
        <f>B19-C19</f>
        <v/>
      </c>
    </row>
    <row r="21">
      <c r="A21" s="3" t="inlineStr">
        <is>
          <t>Влияние на маржу тарифа Pro (балансный mix, 200 msg/мес)</t>
        </is>
      </c>
    </row>
    <row r="23">
      <c r="A23" s="19" t="inlineStr">
        <is>
          <t>Сценарий</t>
        </is>
      </c>
      <c r="B23" s="19" t="inlineStr">
        <is>
          <t>Сообщений</t>
        </is>
      </c>
      <c r="C23" s="19" t="inlineStr">
        <is>
          <t>Без кеша COGS</t>
        </is>
      </c>
      <c r="D23" s="19" t="inlineStr">
        <is>
          <t>С кешем COGS</t>
        </is>
      </c>
      <c r="E23" s="19" t="inlineStr">
        <is>
          <t>Экономия ₽/мес</t>
        </is>
      </c>
      <c r="F23" s="19" t="inlineStr">
        <is>
          <t>Маржа Pro: было → стало</t>
        </is>
      </c>
    </row>
    <row r="24">
      <c r="A24" s="9" t="inlineStr">
        <is>
          <t>Lite пользователь, 200 msg бал.</t>
        </is>
      </c>
      <c r="B24" s="37" t="n">
        <v>200</v>
      </c>
      <c r="C24" s="11">
        <f>200*'6. Mix-сценарии'!C15</f>
        <v/>
      </c>
      <c r="D24" s="27">
        <f>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4" s="38">
        <f>C24-D24</f>
        <v/>
      </c>
      <c r="F24" s="9">
        <f>ROUND(C24/7990*100,1)&amp;"% → "&amp;ROUND(D24/7990*100,1)&amp;"%"</f>
        <v/>
      </c>
    </row>
    <row r="25">
      <c r="A25" s="9" t="inlineStr">
        <is>
          <t>Pro средний, 600 msg бал.</t>
        </is>
      </c>
      <c r="B25" s="37" t="n">
        <v>600</v>
      </c>
      <c r="C25" s="11">
        <f>600*'6. Mix-сценарии'!C15</f>
        <v/>
      </c>
      <c r="D25" s="27">
        <f>600*(B12*'6.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5" s="38">
        <f>C25-D25</f>
        <v/>
      </c>
      <c r="F25" s="9">
        <f>ROUND(C25/7990*100,1)&amp;"% → "&amp;ROUND(D25/7990*100,1)&amp;"%"</f>
        <v/>
      </c>
    </row>
    <row r="26">
      <c r="A26" s="9" t="inlineStr">
        <is>
          <t>Pro power-user, 1200 msg бал.</t>
        </is>
      </c>
      <c r="B26" s="37" t="n">
        <v>1200</v>
      </c>
      <c r="C26" s="11">
        <f>1200*'6. Mix-сценарии'!C15</f>
        <v/>
      </c>
      <c r="D26" s="27">
        <f>1200*(B12*'6.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6" s="38">
        <f>C26-D26</f>
        <v/>
      </c>
      <c r="F26" s="9">
        <f>ROUND(C26/7990*100,1)&amp;"% → "&amp;ROUND(D26/7990*100,1)&amp;"%"</f>
        <v/>
      </c>
    </row>
    <row r="27">
      <c r="A27" s="9" t="inlineStr">
        <is>
          <t>Pro power-user премиум, 300 msg</t>
        </is>
      </c>
      <c r="B27" s="37" t="n">
        <v>300</v>
      </c>
      <c r="C27" s="11">
        <f>300*'6. Mix-сценарии'!D15</f>
        <v/>
      </c>
      <c r="D27" s="27">
        <f>300*(B12*'6. Mix-сценарии'!D5+B13*'6. Mix-сценарии'!D6+B14*'6. Mix-сценарии'!D7+B15*'6. Mix-сценарии'!D8+B16*'6. Mix-сценарии'!D9+B17*'6. Mix-сценарии'!D10+B18*'6. Mix-сценарии'!D11+B19*'6. Mix-сценарии'!D12)</f>
        <v/>
      </c>
      <c r="E27" s="38">
        <f>C27-D27</f>
        <v/>
      </c>
      <c r="F27" s="9">
        <f>ROUND(C27/7990*100,1)&amp;"% → "&amp;ROUND(D27/7990*100,1)&amp;"%"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8" customWidth="1" min="3" max="3"/>
    <col width="22" customWidth="1" min="4" max="4"/>
    <col width="22" customWidth="1" min="5" max="5"/>
    <col width="20" customWidth="1" min="6" max="6"/>
    <col width="22" customWidth="1" min="7" max="7"/>
  </cols>
  <sheetData>
    <row r="1">
      <c r="A1" s="1" t="inlineStr">
        <is>
          <t>Когда self-hosted Qwen 3 235B окупится</t>
        </is>
      </c>
    </row>
    <row r="2" ht="32" customHeight="1">
      <c r="A2" s="2" t="inlineStr">
        <is>
          <t>Capex 250к ₽ (1×A100 80GB или 2×RTX 4090) + Opex ~120к/мес. Break-even зависит от объёма traffic.</t>
        </is>
      </c>
    </row>
    <row r="4" ht="36" customHeight="1">
      <c r="A4" s="8" t="inlineStr">
        <is>
          <t>Параметр</t>
        </is>
      </c>
      <c r="B4" s="8" t="inlineStr">
        <is>
          <t>Значение</t>
        </is>
      </c>
      <c r="C4" s="8" t="inlineStr">
        <is>
          <t>Комментарий</t>
        </is>
      </c>
    </row>
    <row r="5">
      <c r="A5" s="39" t="inlineStr">
        <is>
          <t>Capex (железо)</t>
        </is>
      </c>
      <c r="B5" s="40" t="n">
        <v>250000</v>
      </c>
      <c r="C5" s="6" t="inlineStr">
        <is>
          <t>1× A100 80GB ИЛИ 2× RTX 4090, 256 ГБ RAM</t>
        </is>
      </c>
    </row>
    <row r="6">
      <c r="A6" s="39" t="inlineStr">
        <is>
          <t>Opex /мес (электр., охлаждение, амортизация 5y)</t>
        </is>
      </c>
      <c r="B6" s="40" t="n">
        <v>120000</v>
      </c>
      <c r="C6" s="6" t="inlineStr">
        <is>
          <t>Включая 4 100 кВт×час × 6 ₽/кВт + 50% капекса/60</t>
        </is>
      </c>
    </row>
    <row r="7">
      <c r="A7" s="39" t="inlineStr">
        <is>
          <t>Throughput на 1 GPU, msg/час (8K токенов)</t>
        </is>
      </c>
      <c r="B7" s="41" t="n">
        <v>60</v>
      </c>
      <c r="C7" s="6" t="inlineStr">
        <is>
          <t>Реалистично для 235B на A100 при batch=4</t>
        </is>
      </c>
    </row>
    <row r="8">
      <c r="A8" s="39" t="inlineStr">
        <is>
          <t>Активный uptime, ч/мес</t>
        </is>
      </c>
      <c r="B8" s="41" t="n">
        <v>720</v>
      </c>
      <c r="C8" s="6" t="inlineStr">
        <is>
          <t>30 дней × 24 часа (всегда запущен)</t>
        </is>
      </c>
    </row>
    <row r="9">
      <c r="A9" s="39" t="inlineStr">
        <is>
          <t>Доля задач, которые можно роутить на Qwen</t>
        </is>
      </c>
      <c r="B9" s="32" t="n">
        <v>0.3</v>
      </c>
      <c r="C9" s="6" t="inlineStr">
        <is>
          <t>Простые правки, типовые задачи. 40-50% при умном роутинге.</t>
        </is>
      </c>
    </row>
    <row r="11">
      <c r="A11" s="33" t="inlineStr">
        <is>
          <t>Capacity Qwen msg/мес</t>
        </is>
      </c>
      <c r="B11" s="16">
        <f>B7*B8</f>
        <v/>
      </c>
      <c r="C11" s="2" t="inlineStr">
        <is>
          <t>на 1 GPU</t>
        </is>
      </c>
    </row>
    <row r="12">
      <c r="A12" s="33" t="inlineStr">
        <is>
          <t>Стоимость нам Qwen ₽/msg</t>
        </is>
      </c>
      <c r="B12" s="42">
        <f>B6/B11</f>
        <v/>
      </c>
      <c r="C12" s="2" t="inlineStr">
        <is>
          <t>opex / capacity</t>
        </is>
      </c>
    </row>
    <row r="13">
      <c r="A13" s="4" t="inlineStr">
        <is>
          <t>Если бы платили API (DeepSeek)</t>
        </is>
      </c>
      <c r="B13" s="43">
        <f>B11*'3. Цена сообщения'!B5</f>
        <v/>
      </c>
    </row>
    <row r="14">
      <c r="A14" s="4" t="inlineStr">
        <is>
          <t>Если бы платили API (Haiku)</t>
        </is>
      </c>
      <c r="B14" s="43">
        <f>B11*'3. Цена сообщения'!B8</f>
        <v/>
      </c>
    </row>
    <row r="15">
      <c r="A15" s="4" t="inlineStr">
        <is>
          <t>Если бы платили API (Sonnet)</t>
        </is>
      </c>
      <c r="B15" s="43">
        <f>B11*'3. Цена сообщения'!B11</f>
        <v/>
      </c>
    </row>
    <row r="18" ht="36" customHeight="1">
      <c r="A18" s="8" t="inlineStr">
        <is>
          <t>Активных Pro юзеров</t>
        </is>
      </c>
      <c r="B18" s="8" t="inlineStr">
        <is>
          <t>Msg/мес всего (200/юзер)</t>
        </is>
      </c>
      <c r="C18" s="8" t="inlineStr">
        <is>
          <t>Msg на Qwen (30%)</t>
        </is>
      </c>
      <c r="D18" s="8" t="inlineStr">
        <is>
          <t>Если бы Sonnet, ₽</t>
        </is>
      </c>
      <c r="E18" s="8" t="inlineStr">
        <is>
          <t>Себест на Qwen, ₽</t>
        </is>
      </c>
      <c r="F18" s="8" t="inlineStr">
        <is>
          <t>Экономия /мес</t>
        </is>
      </c>
      <c r="G18" s="8" t="inlineStr">
        <is>
          <t>Месяцев до break-even</t>
        </is>
      </c>
    </row>
    <row r="19">
      <c r="A19" s="18" t="n">
        <v>50</v>
      </c>
      <c r="B19" s="18" t="n">
        <v>10000</v>
      </c>
      <c r="C19" s="18">
        <f>B19*$B$9</f>
        <v/>
      </c>
      <c r="D19" s="11">
        <f>C19*'3. Цена сообщения'!B11</f>
        <v/>
      </c>
      <c r="E19" s="11">
        <f>$B$6</f>
        <v/>
      </c>
      <c r="F19" s="26">
        <f>D19-E19</f>
        <v/>
      </c>
      <c r="G19" s="22">
        <f>IF(F19&lt;=0,"никогда",ROUND($B$5/F19,1))</f>
        <v/>
      </c>
    </row>
    <row r="20">
      <c r="A20" s="18" t="n">
        <v>100</v>
      </c>
      <c r="B20" s="18" t="n">
        <v>20000</v>
      </c>
      <c r="C20" s="18">
        <f>B20*$B$9</f>
        <v/>
      </c>
      <c r="D20" s="11">
        <f>C20*'3. Цена сообщения'!B11</f>
        <v/>
      </c>
      <c r="E20" s="11">
        <f>$B$6</f>
        <v/>
      </c>
      <c r="F20" s="26">
        <f>D20-E20</f>
        <v/>
      </c>
      <c r="G20" s="22">
        <f>IF(F20&lt;=0,"никогда",ROUND($B$5/F20,1))</f>
        <v/>
      </c>
    </row>
    <row r="21">
      <c r="A21" s="18" t="n">
        <v>200</v>
      </c>
      <c r="B21" s="18" t="n">
        <v>40000</v>
      </c>
      <c r="C21" s="18">
        <f>B21*$B$9</f>
        <v/>
      </c>
      <c r="D21" s="11">
        <f>C21*'3. Цена сообщения'!B11</f>
        <v/>
      </c>
      <c r="E21" s="11">
        <f>$B$6</f>
        <v/>
      </c>
      <c r="F21" s="26">
        <f>D21-E21</f>
        <v/>
      </c>
      <c r="G21" s="22">
        <f>IF(F21&lt;=0,"никогда",ROUND($B$5/F21,1))</f>
        <v/>
      </c>
    </row>
    <row r="22">
      <c r="A22" s="18" t="n">
        <v>500</v>
      </c>
      <c r="B22" s="18" t="n">
        <v>100000</v>
      </c>
      <c r="C22" s="18">
        <f>B22*$B$9</f>
        <v/>
      </c>
      <c r="D22" s="11">
        <f>C22*'3. Цена сообщения'!B11</f>
        <v/>
      </c>
      <c r="E22" s="11">
        <f>$B$6</f>
        <v/>
      </c>
      <c r="F22" s="27">
        <f>D22-E22</f>
        <v/>
      </c>
      <c r="G22" s="22">
        <f>IF(F22&lt;=0,"никогда",ROUND($B$5/F22,1))</f>
        <v/>
      </c>
    </row>
    <row r="23">
      <c r="A23" s="18" t="n">
        <v>1000</v>
      </c>
      <c r="B23" s="18" t="n">
        <v>200000</v>
      </c>
      <c r="C23" s="18">
        <f>B23*$B$9</f>
        <v/>
      </c>
      <c r="D23" s="11">
        <f>C23*'3. Цена сообщения'!B11</f>
        <v/>
      </c>
      <c r="E23" s="11">
        <f>$B$6</f>
        <v/>
      </c>
      <c r="F23" s="27">
        <f>D23-E23</f>
        <v/>
      </c>
      <c r="G23" s="22">
        <f>IF(F23&lt;=0,"никогда",ROUND($B$5/F23,1))</f>
        <v/>
      </c>
    </row>
    <row r="24">
      <c r="A24" s="18" t="n">
        <v>2000</v>
      </c>
      <c r="B24" s="18" t="n">
        <v>400000</v>
      </c>
      <c r="C24" s="18">
        <f>B24*$B$9</f>
        <v/>
      </c>
      <c r="D24" s="11">
        <f>C24*'3. Цена сообщения'!B11</f>
        <v/>
      </c>
      <c r="E24" s="11">
        <f>$B$6</f>
        <v/>
      </c>
      <c r="F24" s="27">
        <f>D24-E24</f>
        <v/>
      </c>
      <c r="G24" s="22">
        <f>IF(F24&lt;=0,"никогда",ROUND($B$5/F24,1))</f>
        <v/>
      </c>
    </row>
    <row r="25">
      <c r="A25" s="18" t="n">
        <v>5000</v>
      </c>
      <c r="B25" s="18" t="n">
        <v>1000000</v>
      </c>
      <c r="C25" s="18">
        <f>B25*$B$9</f>
        <v/>
      </c>
      <c r="D25" s="11">
        <f>C25*'3. Цена сообщения'!B11</f>
        <v/>
      </c>
      <c r="E25" s="11">
        <f>$B$6</f>
        <v/>
      </c>
      <c r="F25" s="27">
        <f>D25-E25</f>
        <v/>
      </c>
      <c r="G25" s="22">
        <f>IF(F25&lt;=0,"никогда",ROUND($B$5/F25,1))</f>
        <v/>
      </c>
    </row>
    <row r="27">
      <c r="A27" s="3" t="inlineStr">
        <is>
          <t>ВЕРДИКТ</t>
        </is>
      </c>
    </row>
    <row r="28" ht="22" customHeight="1">
      <c r="A28" s="6" t="inlineStr">
        <is>
          <t>• До 100 активных Pro юзеров: Qwen НЕ окупается — opex 120к/мес больше чем экономия на API.</t>
        </is>
      </c>
    </row>
    <row r="29" ht="22" customHeight="1">
      <c r="A29" s="6" t="inlineStr">
        <is>
          <t>• 200-500 юзеров: 4-12 мес до break-even. Прицельно если есть стратегические причины (152-ФЗ, vendor lock-in protection).</t>
        </is>
      </c>
    </row>
    <row r="30" ht="22" customHeight="1">
      <c r="A30" s="6" t="inlineStr">
        <is>
          <t>• 500+ юзеров: 1-3 мес до break-even — однозначно ставить.</t>
        </is>
      </c>
    </row>
    <row r="31" ht="22" customHeight="1">
      <c r="A31" s="6" t="inlineStr">
        <is>
          <t>• По плану на M15: ~1 000 платящих → break-even на 4-м месяце с launch'a Qwen.</t>
        </is>
      </c>
    </row>
    <row r="32" ht="22" customHeight="1">
      <c r="A32" s="6" t="inlineStr">
        <is>
          <t>• Альтернатива до тех пор: остаёмся на DeepSeek + Haiku API. COGS низкий, гибкость высокая.</t>
        </is>
      </c>
    </row>
    <row r="34">
      <c r="A34" s="3" t="inlineStr">
        <is>
          <t>СТРАТЕГИЧЕСКАЯ ЦЕННОСТЬ (за пределами break-even)</t>
        </is>
      </c>
    </row>
    <row r="35" ht="22" customHeight="1">
      <c r="A35" s="6" t="inlineStr">
        <is>
          <t>★ 152-ФЗ-compliant: Qwen self-hosted = ПДн остаётся в нашем периметре. Открывает enterprise-сегмент.</t>
        </is>
      </c>
    </row>
    <row r="36" ht="22" customHeight="1">
      <c r="A36" s="6" t="inlineStr">
        <is>
          <t>★ Vendor lock-in protection: если Anthropic/OpenAI ограничат доступ из РФ — мы не встаём.</t>
        </is>
      </c>
    </row>
    <row r="37" ht="22" customHeight="1">
      <c r="A37" s="6" t="inlineStr">
        <is>
          <t>★ Маркетинг: «Open-source LLM в нашем контуре» = differentiation от Promto/Lovable/v0.</t>
        </is>
      </c>
    </row>
    <row r="38" ht="22" customHeight="1">
      <c r="A38" s="6" t="inlineStr">
        <is>
          <t>★ R&amp;D-площадка: можем fine-tune под наши задачи (code-gen для рос-стека: Tilda, ЮKassa, 1С API).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Lean cost-структура · только реальные траты</t>
        </is>
      </c>
    </row>
    <row r="2" ht="32" customHeight="1">
      <c r="A2" s="2" t="inlineStr">
        <is>
          <t>Только то, что нужно: юрист + LLM (variable) + Серверум + домены/SSL + 300к/мес разработка. Никаких лишних FOT и маркетинговых бюджетов.</t>
        </is>
      </c>
    </row>
    <row r="4">
      <c r="A4" s="3" t="inlineStr">
        <is>
          <t>ПОСТОЯННЫЕ ЗАТРАТЫ (₽/мес, не зависят от числа клиентов)</t>
        </is>
      </c>
    </row>
    <row r="6" ht="36" customHeight="1">
      <c r="A6" s="8" t="inlineStr">
        <is>
          <t>Категория</t>
        </is>
      </c>
      <c r="B6" s="8" t="inlineStr">
        <is>
          <t>₽/мес</t>
        </is>
      </c>
      <c r="C6" s="8" t="inlineStr">
        <is>
          <t>Комментарий</t>
        </is>
      </c>
    </row>
    <row r="7">
      <c r="A7" s="9" t="inlineStr">
        <is>
          <t>Юрист</t>
        </is>
      </c>
      <c r="B7" s="17" t="n">
        <v>30000</v>
      </c>
      <c r="C7" s="44" t="inlineStr">
        <is>
          <t>Договоры, оферта, ИП/ЮЛ обслуживание, нерегулярные консультации</t>
        </is>
      </c>
    </row>
    <row r="8">
      <c r="A8" s="9" t="inlineStr">
        <is>
          <t>Разработка</t>
        </is>
      </c>
      <c r="B8" s="17" t="n">
        <v>300000</v>
      </c>
      <c r="C8" s="44" t="inlineStr">
        <is>
          <t>1 senior dev или 2 mid (founder + 1 hire). Ремонт + новые фичи.</t>
        </is>
      </c>
    </row>
    <row r="9">
      <c r="A9" s="22" t="inlineStr">
        <is>
          <t>ИТОГО ПОСТОЯННЫХ</t>
        </is>
      </c>
      <c r="B9" s="45">
        <f>SUM(B7:B8)</f>
        <v/>
      </c>
      <c r="C9" s="15" t="n"/>
    </row>
    <row r="11">
      <c r="A11" s="3" t="inlineStr">
        <is>
          <t>ПОЧЕМУ НЕТ СЕРВЕРОВ И ДОМЕНОВ?</t>
        </is>
      </c>
    </row>
    <row r="12" ht="22" customHeight="1">
      <c r="A12" s="6" t="inlineStr">
        <is>
          <t>Серверум (аренда сервера для сайта клиента) и домен + HTTPS включены в подписку клиента → переменные затраты, не наши fixed.</t>
        </is>
      </c>
    </row>
    <row r="13" ht="22" customHeight="1">
      <c r="A13" s="6" t="inlineStr">
        <is>
          <t>Логика: мы платим Серверум за каждый клиентский VPS, добавляем эту сумму в стоимость тарифа → сразу окупаем при первом платеже.</t>
        </is>
      </c>
    </row>
    <row r="14" ht="22" customHeight="1">
      <c r="A14" s="6" t="inlineStr">
        <is>
          <t>Наша собственная инфра (omnia.ai домен, control-plane если будет) пока в рамках 300к разработки — учли в FOT.</t>
        </is>
      </c>
    </row>
    <row r="16">
      <c r="A16" s="3" t="inlineStr">
        <is>
          <t>ПЕРЕМЕННЫЕ ЗАТРАТЫ (₽/клиент/мес, профиль B — балансный)</t>
        </is>
      </c>
    </row>
    <row r="18" ht="36" customHeight="1">
      <c r="A18" s="8" t="inlineStr">
        <is>
          <t>Тариф</t>
        </is>
      </c>
      <c r="B18" s="8" t="inlineStr">
        <is>
          <t>Цена ₽/мес</t>
        </is>
      </c>
      <c r="C18" s="8" t="inlineStr">
        <is>
          <t>LLM-COGS (wallet/markup)</t>
        </is>
      </c>
      <c r="D18" s="8" t="inlineStr">
        <is>
          <t>Серверум · сервер для сайта клиента</t>
        </is>
      </c>
      <c r="E18" s="8" t="inlineStr">
        <is>
          <t>Домен клиента + HTTPS</t>
        </is>
      </c>
      <c r="F18" s="8" t="inlineStr">
        <is>
          <t>Комиссия 3%</t>
        </is>
      </c>
      <c r="G18" s="8" t="inlineStr">
        <is>
          <t>Итого Var</t>
        </is>
      </c>
      <c r="H18" s="8" t="inlineStr">
        <is>
          <t>Gross маржа ₽</t>
        </is>
      </c>
      <c r="I18" s="8" t="inlineStr">
        <is>
          <t>Маржа %</t>
        </is>
      </c>
    </row>
    <row r="19">
      <c r="A19" s="9" t="inlineStr">
        <is>
          <t>Lite</t>
        </is>
      </c>
      <c r="B19" s="17" t="n">
        <v>990</v>
      </c>
      <c r="C19" s="11">
        <f>1000/'1. Параметры'!$B$6</f>
        <v/>
      </c>
      <c r="D19" s="17" t="n">
        <v>50</v>
      </c>
      <c r="E19" s="17" t="n">
        <v>25</v>
      </c>
      <c r="F19" s="11">
        <f>B19*0.03</f>
        <v/>
      </c>
      <c r="G19" s="26">
        <f>C19+D19+E19+F19</f>
        <v/>
      </c>
      <c r="H19" s="46">
        <f>B19-G19</f>
        <v/>
      </c>
      <c r="I19" s="47">
        <f>H19/B19</f>
        <v/>
      </c>
    </row>
    <row r="20">
      <c r="A20" s="9" t="inlineStr">
        <is>
          <t>Starter</t>
        </is>
      </c>
      <c r="B20" s="17" t="n">
        <v>2990</v>
      </c>
      <c r="C20" s="11">
        <f>2500/'1. Параметры'!$B$6</f>
        <v/>
      </c>
      <c r="D20" s="17" t="n">
        <v>600</v>
      </c>
      <c r="E20" s="17" t="n">
        <v>50</v>
      </c>
      <c r="F20" s="11">
        <f>B20*0.03</f>
        <v/>
      </c>
      <c r="G20" s="26">
        <f>C20+D20+E20+F20</f>
        <v/>
      </c>
      <c r="H20" s="46">
        <f>B20-G20</f>
        <v/>
      </c>
      <c r="I20" s="47">
        <f>H20/B20</f>
        <v/>
      </c>
    </row>
    <row r="21">
      <c r="A21" s="9" t="inlineStr">
        <is>
          <t>Pro</t>
        </is>
      </c>
      <c r="B21" s="17" t="n">
        <v>7990</v>
      </c>
      <c r="C21" s="11">
        <f>6000/'1. Параметры'!$B$6</f>
        <v/>
      </c>
      <c r="D21" s="17" t="n">
        <v>3000</v>
      </c>
      <c r="E21" s="17" t="n">
        <v>100</v>
      </c>
      <c r="F21" s="11">
        <f>B21*0.03</f>
        <v/>
      </c>
      <c r="G21" s="26">
        <f>C21+D21+E21+F21</f>
        <v/>
      </c>
      <c r="H21" s="46">
        <f>B21-G21</f>
        <v/>
      </c>
      <c r="I21" s="47">
        <f>H21/B21</f>
        <v/>
      </c>
    </row>
    <row r="22">
      <c r="A22" s="9" t="inlineStr">
        <is>
          <t>Enterprise</t>
        </is>
      </c>
      <c r="B22" s="17" t="n">
        <v>19990</v>
      </c>
      <c r="C22" s="11">
        <f>18000/'1. Параметры'!$B$6</f>
        <v/>
      </c>
      <c r="D22" s="17" t="n">
        <v>8000</v>
      </c>
      <c r="E22" s="17" t="n">
        <v>250</v>
      </c>
      <c r="F22" s="11">
        <f>B22*0.03</f>
        <v/>
      </c>
      <c r="G22" s="26">
        <f>C22+D22+E22+F22</f>
        <v/>
      </c>
      <c r="H22" s="46">
        <f>B22-G22</f>
        <v/>
      </c>
      <c r="I22" s="47">
        <f>H22/B22</f>
        <v/>
      </c>
    </row>
    <row r="24">
      <c r="A24" s="2" t="inlineStr">
        <is>
          <t>• LLM-COGS = wallet ₽ / markup 2.8 (т.к. wallet это retail-цена токенов).</t>
        </is>
      </c>
    </row>
    <row r="25">
      <c r="A25" s="2" t="inlineStr">
        <is>
          <t>• Если клиент НЕ сжигает весь wallet — наш COGS меньше, маржа выше.</t>
        </is>
      </c>
    </row>
    <row r="26">
      <c r="A26" s="2" t="inlineStr">
        <is>
          <t>• Серверум — passthru от SafeCloud / CORTEL по партнёрскому прайсу + наша наценка уже в подписке.</t>
        </is>
      </c>
    </row>
    <row r="27">
      <c r="A27" s="2" t="inlineStr">
        <is>
          <t>• Домен клиента: .ru/.рф ~300 ₽/год от Reg.ru → 25 ₽/мес. Включается в тариф.</t>
        </is>
      </c>
    </row>
    <row r="28">
      <c r="A28" s="2" t="inlineStr">
        <is>
          <t>• HTTPS-сертификат от Let's Encrypt — бесплатно, авто-обновление.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Точка безубыточности · сколько платящих клиентов нужно</t>
        </is>
      </c>
    </row>
    <row r="2" ht="32" customHeight="1">
      <c r="A2" s="2" t="inlineStr">
        <is>
          <t>Зависит от микса тарифов. Чем больше Pro/Ent в миксе, тем меньше клиентов нужно.</t>
        </is>
      </c>
    </row>
    <row r="4">
      <c r="A4" s="3" t="inlineStr">
        <is>
          <t>ДОЛИ ТАРИФОВ В МИКСЕ</t>
        </is>
      </c>
    </row>
    <row r="6">
      <c r="A6" s="4" t="inlineStr">
        <is>
          <t>Lite</t>
        </is>
      </c>
      <c r="B6" s="32" t="n">
        <v>0.5</v>
      </c>
    </row>
    <row r="7">
      <c r="A7" s="4" t="inlineStr">
        <is>
          <t>Starter</t>
        </is>
      </c>
      <c r="B7" s="32" t="n">
        <v>0.25</v>
      </c>
    </row>
    <row r="8">
      <c r="A8" s="4" t="inlineStr">
        <is>
          <t>Pro</t>
        </is>
      </c>
      <c r="B8" s="32" t="n">
        <v>0.18</v>
      </c>
    </row>
    <row r="9">
      <c r="A9" s="4" t="inlineStr">
        <is>
          <t>Enterprise</t>
        </is>
      </c>
      <c r="B9" s="32" t="n">
        <v>0.07000000000000001</v>
      </c>
    </row>
    <row r="10">
      <c r="A10" s="33" t="inlineStr">
        <is>
          <t>Сумма (= 100%)</t>
        </is>
      </c>
      <c r="B10" s="48">
        <f>SUM(B6:B9)</f>
        <v/>
      </c>
    </row>
    <row r="13">
      <c r="A13" s="3" t="inlineStr">
        <is>
          <t>ВЗВЕШЕННЫЕ ПОКАЗАТЕЛИ</t>
        </is>
      </c>
    </row>
    <row r="15">
      <c r="A15" s="4" t="inlineStr">
        <is>
          <t>ARPU средневзв., ₽</t>
        </is>
      </c>
      <c r="B15" s="49">
        <f>B6*'13. Lean opex'!B21+B7*'13. Lean opex'!B22+B8*'13. Lean opex'!B21+B9*'13. Lean opex'!B22</f>
        <v/>
      </c>
    </row>
    <row r="16">
      <c r="A16" s="4" t="inlineStr">
        <is>
          <t>GM на 1 клиента/мес, ₽</t>
        </is>
      </c>
      <c r="B16" s="49">
        <f>B6*'13. Lean opex'!H21+B7*'13. Lean opex'!H22+B8*'13. Lean opex'!H21+B9*'13. Lean opex'!H22</f>
        <v/>
      </c>
    </row>
    <row r="17">
      <c r="A17" s="4" t="inlineStr">
        <is>
          <t>GM ratio (от MRR)</t>
        </is>
      </c>
      <c r="B17" s="50">
        <f>B16/B15</f>
        <v/>
      </c>
    </row>
    <row r="20">
      <c r="A20" s="3" t="inlineStr">
        <is>
          <t>BREAK-EVEN</t>
        </is>
      </c>
    </row>
    <row r="22">
      <c r="A22" s="4" t="inlineStr">
        <is>
          <t>Постоянный opex, ₽/мес</t>
        </is>
      </c>
      <c r="B22" s="51">
        <f>'13. Lean opex'!B9</f>
        <v/>
      </c>
    </row>
    <row r="23">
      <c r="A23" s="33" t="inlineStr">
        <is>
          <t>Платящих клиентов нужно</t>
        </is>
      </c>
      <c r="B23" s="52">
        <f>ROUNDUP(B22/B16,0)</f>
        <v/>
      </c>
    </row>
    <row r="24">
      <c r="A24" s="33" t="inlineStr">
        <is>
          <t>MRR break-even, ₽</t>
        </is>
      </c>
      <c r="B24" s="53">
        <f>B23*B15</f>
        <v/>
      </c>
    </row>
    <row r="27">
      <c r="A27" s="3" t="inlineStr">
        <is>
          <t>ЧУВСТВИТЕЛЬНОСТЬ ПО МИКСУ</t>
        </is>
      </c>
    </row>
    <row r="29" ht="36" customHeight="1">
      <c r="A29" s="8" t="inlineStr">
        <is>
          <t>Сценарий</t>
        </is>
      </c>
      <c r="B29" s="8" t="inlineStr">
        <is>
          <t>Lite %</t>
        </is>
      </c>
      <c r="C29" s="8" t="inlineStr">
        <is>
          <t>Starter %</t>
        </is>
      </c>
      <c r="D29" s="8" t="inlineStr">
        <is>
          <t>Pro %</t>
        </is>
      </c>
      <c r="E29" s="8" t="inlineStr">
        <is>
          <t>Ent %</t>
        </is>
      </c>
      <c r="F29" s="8" t="inlineStr">
        <is>
          <t>ARPU ₽</t>
        </is>
      </c>
      <c r="G29" s="8" t="inlineStr">
        <is>
          <t>GM/cust ₽</t>
        </is>
      </c>
      <c r="H29" s="8" t="inlineStr">
        <is>
          <t>Break-even</t>
        </is>
      </c>
    </row>
    <row r="30">
      <c r="A30" s="9" t="inlineStr">
        <is>
          <t>Зрелый (M15+, default)</t>
        </is>
      </c>
      <c r="B30" s="28" t="n">
        <v>0.5</v>
      </c>
      <c r="C30" s="28" t="n">
        <v>0.25</v>
      </c>
      <c r="D30" s="28" t="n">
        <v>0.18</v>
      </c>
      <c r="E30" s="28" t="n">
        <v>0.07000000000000001</v>
      </c>
      <c r="F30" s="11">
        <f>B30*'13. Lean opex'!B21+C30*'13. Lean opex'!B22+D30*'13. Lean opex'!B21+E30*'13. Lean opex'!B22</f>
        <v/>
      </c>
      <c r="G30" s="11">
        <f>B30*'13. Lean opex'!H21+C30*'13. Lean opex'!H22+D30*'13. Lean opex'!H21+E30*'13. Lean opex'!H22</f>
        <v/>
      </c>
      <c r="H30" s="54">
        <f>ROUNDUP('13. Lean opex'!B9/G30,0)</f>
        <v/>
      </c>
    </row>
    <row r="31">
      <c r="A31" s="9" t="inlineStr">
        <is>
          <t>Лит-доминантный (M5-9)</t>
        </is>
      </c>
      <c r="B31" s="28" t="n">
        <v>0.8</v>
      </c>
      <c r="C31" s="28" t="n">
        <v>0.15</v>
      </c>
      <c r="D31" s="28" t="n">
        <v>0.04</v>
      </c>
      <c r="E31" s="28" t="n">
        <v>0.01</v>
      </c>
      <c r="F31" s="11">
        <f>B31*'13. Lean opex'!B21+C31*'13. Lean opex'!B22+D31*'13. Lean opex'!B21+E31*'13. Lean opex'!B22</f>
        <v/>
      </c>
      <c r="G31" s="11">
        <f>B31*'13. Lean opex'!H21+C31*'13. Lean opex'!H22+D31*'13. Lean opex'!H21+E31*'13. Lean opex'!H22</f>
        <v/>
      </c>
      <c r="H31" s="54">
        <f>ROUNDUP('13. Lean opex'!B9/G31,0)</f>
        <v/>
      </c>
    </row>
    <row r="32">
      <c r="A32" s="9" t="inlineStr">
        <is>
          <t>Бизнес-mix (M10-14)</t>
        </is>
      </c>
      <c r="B32" s="28" t="n">
        <v>0.6</v>
      </c>
      <c r="C32" s="28" t="n">
        <v>0.25</v>
      </c>
      <c r="D32" s="28" t="n">
        <v>0.12</v>
      </c>
      <c r="E32" s="28" t="n">
        <v>0.03</v>
      </c>
      <c r="F32" s="11">
        <f>B32*'13. Lean opex'!B21+C32*'13. Lean opex'!B22+D32*'13. Lean opex'!B21+E32*'13. Lean opex'!B22</f>
        <v/>
      </c>
      <c r="G32" s="11">
        <f>B32*'13. Lean opex'!H21+C32*'13. Lean opex'!H22+D32*'13. Lean opex'!H21+E32*'13. Lean opex'!H22</f>
        <v/>
      </c>
      <c r="H32" s="54">
        <f>ROUNDUP('13. Lean opex'!B9/G32,0)</f>
        <v/>
      </c>
    </row>
    <row r="33">
      <c r="A33" s="9" t="inlineStr">
        <is>
          <t>Премиум-tilt (M18+)</t>
        </is>
      </c>
      <c r="B33" s="28" t="n">
        <v>0.3</v>
      </c>
      <c r="C33" s="28" t="n">
        <v>0.25</v>
      </c>
      <c r="D33" s="28" t="n">
        <v>0.3</v>
      </c>
      <c r="E33" s="28" t="n">
        <v>0.15</v>
      </c>
      <c r="F33" s="11">
        <f>B33*'13. Lean opex'!B21+C33*'13. Lean opex'!B22+D33*'13. Lean opex'!B21+E33*'13. Lean opex'!B22</f>
        <v/>
      </c>
      <c r="G33" s="11">
        <f>B33*'13. Lean opex'!H21+C33*'13. Lean opex'!H22+D33*'13. Lean opex'!H21+E33*'13. Lean opex'!H22</f>
        <v/>
      </c>
      <c r="H33" s="54">
        <f>ROUNDUP('13. Lean opex'!B9/G33,0)</f>
        <v/>
      </c>
    </row>
    <row r="34">
      <c r="A34" s="9" t="inlineStr">
        <is>
          <t>Только Pro/Ent (B2B fokus)</t>
        </is>
      </c>
      <c r="B34" s="28" t="n">
        <v>0</v>
      </c>
      <c r="C34" s="28" t="n">
        <v>0</v>
      </c>
      <c r="D34" s="28" t="n">
        <v>0.7</v>
      </c>
      <c r="E34" s="28" t="n">
        <v>0.3</v>
      </c>
      <c r="F34" s="11">
        <f>B34*'13. Lean opex'!B21+C34*'13. Lean opex'!B22+D34*'13. Lean opex'!B21+E34*'13. Lean opex'!B22</f>
        <v/>
      </c>
      <c r="G34" s="11">
        <f>B34*'13. Lean opex'!H21+C34*'13. Lean opex'!H22+D34*'13. Lean opex'!H21+E34*'13. Lean opex'!H22</f>
        <v/>
      </c>
      <c r="H34" s="54">
        <f>ROUNDUP('13. Lean opex'!B9/G34,0)</f>
        <v/>
      </c>
    </row>
    <row r="37">
      <c r="A37" s="6" t="inlineStr">
        <is>
          <t>ВЫВОД: при дефолтном миксе break-even ≈ 280 платящих. При премиум-tilt — всего ~145.</t>
        </is>
      </c>
    </row>
    <row r="38">
      <c r="A38" s="2" t="inlineStr">
        <is>
          <t>vs v2 business plan (с маркетингом и FOT 3.5М/мес): break-even был 858 → теперь 280 = в 3× меньше.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Финмодель 18 месяцев · M1 разработка → M2 запуск с маркетингом</t>
        </is>
      </c>
    </row>
    <row r="2" ht="32" customHeight="1">
      <c r="A2" s="2" t="inlineStr">
        <is>
          <t>M1 = только строим продукт (300к dev + 30к юрист). M2+ = продукт live, маркетинг ~100к → 250к, клиенты идут с первого дня запуска.</t>
        </is>
      </c>
    </row>
    <row r="4" ht="24" customHeight="1">
      <c r="A4" s="3" t="inlineStr">
        <is>
          <t>Параметр</t>
        </is>
      </c>
      <c r="B4" s="55" t="inlineStr">
        <is>
          <t>M1</t>
        </is>
      </c>
      <c r="C4" s="55" t="inlineStr">
        <is>
          <t>M2</t>
        </is>
      </c>
      <c r="D4" s="55" t="inlineStr">
        <is>
          <t>M3</t>
        </is>
      </c>
      <c r="E4" s="55" t="inlineStr">
        <is>
          <t>M4</t>
        </is>
      </c>
      <c r="F4" s="55" t="inlineStr">
        <is>
          <t>M5</t>
        </is>
      </c>
      <c r="G4" s="55" t="inlineStr">
        <is>
          <t>M6</t>
        </is>
      </c>
      <c r="H4" s="55" t="inlineStr">
        <is>
          <t>M7</t>
        </is>
      </c>
      <c r="I4" s="55" t="inlineStr">
        <is>
          <t>M8</t>
        </is>
      </c>
      <c r="J4" s="55" t="inlineStr">
        <is>
          <t>M9</t>
        </is>
      </c>
      <c r="K4" s="55" t="inlineStr">
        <is>
          <t>M10</t>
        </is>
      </c>
      <c r="L4" s="55" t="inlineStr">
        <is>
          <t>M11</t>
        </is>
      </c>
      <c r="M4" s="55" t="inlineStr">
        <is>
          <t>M12</t>
        </is>
      </c>
      <c r="N4" s="55" t="inlineStr">
        <is>
          <t>M13</t>
        </is>
      </c>
      <c r="O4" s="55" t="inlineStr">
        <is>
          <t>M14</t>
        </is>
      </c>
      <c r="P4" s="55" t="inlineStr">
        <is>
          <t>M15</t>
        </is>
      </c>
      <c r="Q4" s="55" t="inlineStr">
        <is>
          <t>M16</t>
        </is>
      </c>
      <c r="R4" s="55" t="inlineStr">
        <is>
          <t>M17</t>
        </is>
      </c>
      <c r="S4" s="55" t="inlineStr">
        <is>
          <t>M18</t>
        </is>
      </c>
    </row>
    <row r="5">
      <c r="A5" s="4" t="inlineStr">
        <is>
          <t>Платящие клиенты (накопленно)</t>
        </is>
      </c>
      <c r="B5" s="56" t="n">
        <v>0</v>
      </c>
      <c r="C5" s="56" t="n">
        <v>30</v>
      </c>
      <c r="D5" s="56" t="n">
        <v>80</v>
      </c>
      <c r="E5" s="56" t="n">
        <v>150</v>
      </c>
      <c r="F5" s="56" t="n">
        <v>250</v>
      </c>
      <c r="G5" s="56" t="n">
        <v>380</v>
      </c>
      <c r="H5" s="56" t="n">
        <v>540</v>
      </c>
      <c r="I5" s="56" t="n">
        <v>720</v>
      </c>
      <c r="J5" s="56" t="n">
        <v>920</v>
      </c>
      <c r="K5" s="56" t="n">
        <v>1140</v>
      </c>
      <c r="L5" s="56" t="n">
        <v>1390</v>
      </c>
      <c r="M5" s="56" t="n">
        <v>1670</v>
      </c>
      <c r="N5" s="56" t="n">
        <v>1980</v>
      </c>
      <c r="O5" s="56" t="n">
        <v>2330</v>
      </c>
      <c r="P5" s="56" t="n">
        <v>2710</v>
      </c>
      <c r="Q5" s="56" t="n">
        <v>3120</v>
      </c>
      <c r="R5" s="56" t="n">
        <v>3550</v>
      </c>
      <c r="S5" s="56" t="n">
        <v>4000</v>
      </c>
    </row>
    <row r="6">
      <c r="A6" s="4" t="inlineStr">
        <is>
          <t>ARPU средневзв., ₽/мес</t>
        </is>
      </c>
      <c r="B6" s="57" t="n">
        <v>0</v>
      </c>
      <c r="C6" s="57" t="n">
        <v>990</v>
      </c>
      <c r="D6" s="57" t="n">
        <v>990</v>
      </c>
      <c r="E6" s="57" t="n">
        <v>1100</v>
      </c>
      <c r="F6" s="57" t="n">
        <v>1200</v>
      </c>
      <c r="G6" s="57" t="n">
        <v>1400</v>
      </c>
      <c r="H6" s="57" t="n">
        <v>1700</v>
      </c>
      <c r="I6" s="57" t="n">
        <v>2000</v>
      </c>
      <c r="J6" s="57" t="n">
        <v>2300</v>
      </c>
      <c r="K6" s="57" t="n">
        <v>2600</v>
      </c>
      <c r="L6" s="57" t="n">
        <v>2900</v>
      </c>
      <c r="M6" s="57" t="n">
        <v>3150</v>
      </c>
      <c r="N6" s="57" t="n">
        <v>3400</v>
      </c>
      <c r="O6" s="57" t="n">
        <v>3650</v>
      </c>
      <c r="P6" s="57" t="n">
        <v>3850</v>
      </c>
      <c r="Q6" s="57" t="n">
        <v>3950</v>
      </c>
      <c r="R6" s="57" t="n">
        <v>4030</v>
      </c>
      <c r="S6" s="57" t="n">
        <v>4080</v>
      </c>
    </row>
    <row r="7">
      <c r="A7" s="33" t="inlineStr">
        <is>
          <t>MRR, ₽/мес</t>
        </is>
      </c>
      <c r="B7" s="49">
        <f>B5*B6</f>
        <v/>
      </c>
      <c r="C7" s="49">
        <f>C5*C6</f>
        <v/>
      </c>
      <c r="D7" s="49">
        <f>D5*D6</f>
        <v/>
      </c>
      <c r="E7" s="49">
        <f>E5*E6</f>
        <v/>
      </c>
      <c r="F7" s="49">
        <f>F5*F6</f>
        <v/>
      </c>
      <c r="G7" s="49">
        <f>G5*G6</f>
        <v/>
      </c>
      <c r="H7" s="49">
        <f>H5*H6</f>
        <v/>
      </c>
      <c r="I7" s="49">
        <f>I5*I6</f>
        <v/>
      </c>
      <c r="J7" s="49">
        <f>J5*J6</f>
        <v/>
      </c>
      <c r="K7" s="49">
        <f>K5*K6</f>
        <v/>
      </c>
      <c r="L7" s="49">
        <f>L5*L6</f>
        <v/>
      </c>
      <c r="M7" s="49">
        <f>M5*M6</f>
        <v/>
      </c>
      <c r="N7" s="49">
        <f>N5*N6</f>
        <v/>
      </c>
      <c r="O7" s="49">
        <f>O5*O6</f>
        <v/>
      </c>
      <c r="P7" s="49">
        <f>P5*P6</f>
        <v/>
      </c>
      <c r="Q7" s="49">
        <f>Q5*Q6</f>
        <v/>
      </c>
      <c r="R7" s="49">
        <f>R5*R6</f>
        <v/>
      </c>
      <c r="S7" s="49">
        <f>S5*S6</f>
        <v/>
      </c>
    </row>
    <row r="8">
      <c r="A8" s="4" t="inlineStr">
        <is>
          <t>GM ratio</t>
        </is>
      </c>
      <c r="B8" s="58" t="n">
        <v>0</v>
      </c>
      <c r="C8" s="58" t="n">
        <v>0.53</v>
      </c>
      <c r="D8" s="58" t="n">
        <v>0.53</v>
      </c>
      <c r="E8" s="58" t="n">
        <v>0.52</v>
      </c>
      <c r="F8" s="58" t="n">
        <v>0.5</v>
      </c>
      <c r="G8" s="58" t="n">
        <v>0.48</v>
      </c>
      <c r="H8" s="58" t="n">
        <v>0.46</v>
      </c>
      <c r="I8" s="58" t="n">
        <v>0.44</v>
      </c>
      <c r="J8" s="58" t="n">
        <v>0.42</v>
      </c>
      <c r="K8" s="58" t="n">
        <v>0.4</v>
      </c>
      <c r="L8" s="58" t="n">
        <v>0.38</v>
      </c>
      <c r="M8" s="58" t="n">
        <v>0.37</v>
      </c>
      <c r="N8" s="58" t="n">
        <v>0.36</v>
      </c>
      <c r="O8" s="58" t="n">
        <v>0.35</v>
      </c>
      <c r="P8" s="58" t="n">
        <v>0.34</v>
      </c>
      <c r="Q8" s="58" t="n">
        <v>0.34</v>
      </c>
      <c r="R8" s="58" t="n">
        <v>0.34</v>
      </c>
      <c r="S8" s="58" t="n">
        <v>0.34</v>
      </c>
    </row>
    <row r="9">
      <c r="A9" s="33" t="inlineStr">
        <is>
          <t>ГРОСС-ПРИБЫЛЬ, ₽</t>
        </is>
      </c>
      <c r="B9" s="53">
        <f>B7*B8</f>
        <v/>
      </c>
      <c r="C9" s="53">
        <f>C7*C8</f>
        <v/>
      </c>
      <c r="D9" s="53">
        <f>D7*D8</f>
        <v/>
      </c>
      <c r="E9" s="53">
        <f>E7*E8</f>
        <v/>
      </c>
      <c r="F9" s="53">
        <f>F7*F8</f>
        <v/>
      </c>
      <c r="G9" s="53">
        <f>G7*G8</f>
        <v/>
      </c>
      <c r="H9" s="53">
        <f>H7*H8</f>
        <v/>
      </c>
      <c r="I9" s="53">
        <f>I7*I8</f>
        <v/>
      </c>
      <c r="J9" s="53">
        <f>J7*J8</f>
        <v/>
      </c>
      <c r="K9" s="53">
        <f>K7*K8</f>
        <v/>
      </c>
      <c r="L9" s="53">
        <f>L7*L8</f>
        <v/>
      </c>
      <c r="M9" s="53">
        <f>M7*M8</f>
        <v/>
      </c>
      <c r="N9" s="53">
        <f>N7*N8</f>
        <v/>
      </c>
      <c r="O9" s="53">
        <f>O7*O8</f>
        <v/>
      </c>
      <c r="P9" s="53">
        <f>P7*P8</f>
        <v/>
      </c>
      <c r="Q9" s="53">
        <f>Q7*Q8</f>
        <v/>
      </c>
      <c r="R9" s="53">
        <f>R7*R8</f>
        <v/>
      </c>
      <c r="S9" s="53">
        <f>S7*S8</f>
        <v/>
      </c>
    </row>
    <row r="11">
      <c r="A11" s="4" t="inlineStr">
        <is>
          <t>OPEX: Юрист, ₽</t>
        </is>
      </c>
      <c r="B11" s="43" t="n">
        <v>30000</v>
      </c>
      <c r="C11" s="43" t="n">
        <v>30000</v>
      </c>
      <c r="D11" s="43" t="n">
        <v>30000</v>
      </c>
      <c r="E11" s="43" t="n">
        <v>30000</v>
      </c>
      <c r="F11" s="43" t="n">
        <v>30000</v>
      </c>
      <c r="G11" s="43" t="n">
        <v>30000</v>
      </c>
      <c r="H11" s="43" t="n">
        <v>30000</v>
      </c>
      <c r="I11" s="43" t="n">
        <v>30000</v>
      </c>
      <c r="J11" s="43" t="n">
        <v>30000</v>
      </c>
      <c r="K11" s="43" t="n">
        <v>30000</v>
      </c>
      <c r="L11" s="43" t="n">
        <v>30000</v>
      </c>
      <c r="M11" s="43" t="n">
        <v>30000</v>
      </c>
      <c r="N11" s="43" t="n">
        <v>30000</v>
      </c>
      <c r="O11" s="43" t="n">
        <v>30000</v>
      </c>
      <c r="P11" s="43" t="n">
        <v>30000</v>
      </c>
      <c r="Q11" s="43" t="n">
        <v>30000</v>
      </c>
      <c r="R11" s="43" t="n">
        <v>30000</v>
      </c>
      <c r="S11" s="43" t="n">
        <v>30000</v>
      </c>
    </row>
    <row r="12">
      <c r="A12" s="4" t="inlineStr">
        <is>
          <t>OPEX: Разработка, ₽</t>
        </is>
      </c>
      <c r="B12" s="43" t="n">
        <v>300000</v>
      </c>
      <c r="C12" s="43" t="n">
        <v>300000</v>
      </c>
      <c r="D12" s="43" t="n">
        <v>300000</v>
      </c>
      <c r="E12" s="43" t="n">
        <v>300000</v>
      </c>
      <c r="F12" s="43" t="n">
        <v>300000</v>
      </c>
      <c r="G12" s="43" t="n">
        <v>300000</v>
      </c>
      <c r="H12" s="43" t="n">
        <v>300000</v>
      </c>
      <c r="I12" s="43" t="n">
        <v>300000</v>
      </c>
      <c r="J12" s="43" t="n">
        <v>300000</v>
      </c>
      <c r="K12" s="43" t="n">
        <v>300000</v>
      </c>
      <c r="L12" s="43" t="n">
        <v>300000</v>
      </c>
      <c r="M12" s="43" t="n">
        <v>300000</v>
      </c>
      <c r="N12" s="43" t="n">
        <v>300000</v>
      </c>
      <c r="O12" s="43" t="n">
        <v>300000</v>
      </c>
      <c r="P12" s="43" t="n">
        <v>300000</v>
      </c>
      <c r="Q12" s="43" t="n">
        <v>300000</v>
      </c>
      <c r="R12" s="43" t="n">
        <v>300000</v>
      </c>
      <c r="S12" s="43" t="n">
        <v>300000</v>
      </c>
    </row>
    <row r="13">
      <c r="A13" s="4" t="inlineStr">
        <is>
          <t>OPEX: Маркетинг и реклама, ₽</t>
        </is>
      </c>
      <c r="B13" s="43" t="n">
        <v>0</v>
      </c>
      <c r="C13" s="59" t="n">
        <v>100000</v>
      </c>
      <c r="D13" s="59" t="n">
        <v>100000</v>
      </c>
      <c r="E13" s="59" t="n">
        <v>100000</v>
      </c>
      <c r="F13" s="59" t="n">
        <v>100000</v>
      </c>
      <c r="G13" s="59" t="n">
        <v>150000</v>
      </c>
      <c r="H13" s="59" t="n">
        <v>150000</v>
      </c>
      <c r="I13" s="59" t="n">
        <v>150000</v>
      </c>
      <c r="J13" s="59" t="n">
        <v>150000</v>
      </c>
      <c r="K13" s="59" t="n">
        <v>200000</v>
      </c>
      <c r="L13" s="59" t="n">
        <v>200000</v>
      </c>
      <c r="M13" s="59" t="n">
        <v>200000</v>
      </c>
      <c r="N13" s="59" t="n">
        <v>200000</v>
      </c>
      <c r="O13" s="59" t="n">
        <v>200000</v>
      </c>
      <c r="P13" s="59" t="n">
        <v>250000</v>
      </c>
      <c r="Q13" s="59" t="n">
        <v>250000</v>
      </c>
      <c r="R13" s="59" t="n">
        <v>250000</v>
      </c>
      <c r="S13" s="59" t="n">
        <v>250000</v>
      </c>
    </row>
    <row r="14">
      <c r="A14" s="33" t="inlineStr">
        <is>
          <t>ИТОГО OPEX, ₽</t>
        </is>
      </c>
      <c r="B14" s="60">
        <f>SUM(B11:B13)</f>
        <v/>
      </c>
      <c r="C14" s="60">
        <f>SUM(C11:C13)</f>
        <v/>
      </c>
      <c r="D14" s="60">
        <f>SUM(D11:D13)</f>
        <v/>
      </c>
      <c r="E14" s="60">
        <f>SUM(E11:E13)</f>
        <v/>
      </c>
      <c r="F14" s="60">
        <f>SUM(F11:F13)</f>
        <v/>
      </c>
      <c r="G14" s="60">
        <f>SUM(G11:G13)</f>
        <v/>
      </c>
      <c r="H14" s="60">
        <f>SUM(H11:H13)</f>
        <v/>
      </c>
      <c r="I14" s="60">
        <f>SUM(I11:I13)</f>
        <v/>
      </c>
      <c r="J14" s="60">
        <f>SUM(J11:J13)</f>
        <v/>
      </c>
      <c r="K14" s="60">
        <f>SUM(K11:K13)</f>
        <v/>
      </c>
      <c r="L14" s="60">
        <f>SUM(L11:L13)</f>
        <v/>
      </c>
      <c r="M14" s="60">
        <f>SUM(M11:M13)</f>
        <v/>
      </c>
      <c r="N14" s="60">
        <f>SUM(N11:N13)</f>
        <v/>
      </c>
      <c r="O14" s="60">
        <f>SUM(O11:O13)</f>
        <v/>
      </c>
      <c r="P14" s="60">
        <f>SUM(P11:P13)</f>
        <v/>
      </c>
      <c r="Q14" s="60">
        <f>SUM(Q11:Q13)</f>
        <v/>
      </c>
      <c r="R14" s="60">
        <f>SUM(R11:R13)</f>
        <v/>
      </c>
      <c r="S14" s="60">
        <f>SUM(S11:S13)</f>
        <v/>
      </c>
    </row>
    <row r="16">
      <c r="A16" s="33" t="inlineStr">
        <is>
          <t>EBITDA, ₽</t>
        </is>
      </c>
      <c r="B16" s="61">
        <f>B9-B14</f>
        <v/>
      </c>
      <c r="C16" s="61">
        <f>C9-C14</f>
        <v/>
      </c>
      <c r="D16" s="61">
        <f>D9-D14</f>
        <v/>
      </c>
      <c r="E16" s="61">
        <f>E9-E14</f>
        <v/>
      </c>
      <c r="F16" s="61">
        <f>F9-F14</f>
        <v/>
      </c>
      <c r="G16" s="61">
        <f>G9-G14</f>
        <v/>
      </c>
      <c r="H16" s="61">
        <f>H9-H14</f>
        <v/>
      </c>
      <c r="I16" s="61">
        <f>I9-I14</f>
        <v/>
      </c>
      <c r="J16" s="61">
        <f>J9-J14</f>
        <v/>
      </c>
      <c r="K16" s="61">
        <f>K9-K14</f>
        <v/>
      </c>
      <c r="L16" s="61">
        <f>L9-L14</f>
        <v/>
      </c>
      <c r="M16" s="61">
        <f>M9-M14</f>
        <v/>
      </c>
      <c r="N16" s="61">
        <f>N9-N14</f>
        <v/>
      </c>
      <c r="O16" s="61">
        <f>O9-O14</f>
        <v/>
      </c>
      <c r="P16" s="61">
        <f>P9-P14</f>
        <v/>
      </c>
      <c r="Q16" s="61">
        <f>Q9-Q14</f>
        <v/>
      </c>
      <c r="R16" s="61">
        <f>R9-R14</f>
        <v/>
      </c>
      <c r="S16" s="61">
        <f>S9-S14</f>
        <v/>
      </c>
    </row>
    <row r="17">
      <c r="A17" s="33" t="inlineStr">
        <is>
          <t>Накопленный кэш (старт 30к ₽), ₽</t>
        </is>
      </c>
      <c r="B17" s="61">
        <f>30000+B16</f>
        <v/>
      </c>
      <c r="C17" s="49">
        <f>B17+C16</f>
        <v/>
      </c>
      <c r="D17" s="49">
        <f>C17+D16</f>
        <v/>
      </c>
      <c r="E17" s="49">
        <f>D17+E16</f>
        <v/>
      </c>
      <c r="F17" s="49">
        <f>E17+F16</f>
        <v/>
      </c>
      <c r="G17" s="49">
        <f>F17+G16</f>
        <v/>
      </c>
      <c r="H17" s="49">
        <f>G17+H16</f>
        <v/>
      </c>
      <c r="I17" s="49">
        <f>H17+I16</f>
        <v/>
      </c>
      <c r="J17" s="49">
        <f>I17+J16</f>
        <v/>
      </c>
      <c r="K17" s="49">
        <f>J17+K16</f>
        <v/>
      </c>
      <c r="L17" s="49">
        <f>K17+L16</f>
        <v/>
      </c>
      <c r="M17" s="49">
        <f>L17+M16</f>
        <v/>
      </c>
      <c r="N17" s="49">
        <f>M17+N16</f>
        <v/>
      </c>
      <c r="O17" s="49">
        <f>N17+O16</f>
        <v/>
      </c>
      <c r="P17" s="49">
        <f>O17+P16</f>
        <v/>
      </c>
      <c r="Q17" s="49">
        <f>P17+Q16</f>
        <v/>
      </c>
      <c r="R17" s="49">
        <f>Q17+R16</f>
        <v/>
      </c>
      <c r="S17" s="49">
        <f>R17+S16</f>
        <v/>
      </c>
    </row>
    <row r="20">
      <c r="A20" s="3" t="inlineStr">
        <is>
          <t>SUMMARY</t>
        </is>
      </c>
    </row>
    <row r="21">
      <c r="A21" s="4" t="inlineStr">
        <is>
          <t>MRR на M18, ₽</t>
        </is>
      </c>
      <c r="B21" s="53">
        <f>S7</f>
        <v/>
      </c>
    </row>
    <row r="22">
      <c r="A22" s="4" t="inlineStr">
        <is>
          <t>ARR на M18, ₽</t>
        </is>
      </c>
      <c r="B22" s="53">
        <f>S7*12</f>
        <v/>
      </c>
    </row>
    <row r="23">
      <c r="A23" s="4" t="inlineStr">
        <is>
          <t>Накопленный кэш на M18, ₽</t>
        </is>
      </c>
      <c r="B23" s="53">
        <f>S17</f>
        <v/>
      </c>
    </row>
    <row r="24">
      <c r="A24" s="4" t="inlineStr">
        <is>
          <t>Min cash (наибольший провал), ₽</t>
        </is>
      </c>
      <c r="B24" s="60">
        <f>MIN(B17:S17)</f>
        <v/>
      </c>
    </row>
    <row r="25">
      <c r="A25" s="4" t="inlineStr">
        <is>
          <t>Месяц первого положительного EBITDA</t>
        </is>
      </c>
      <c r="B25" s="2" t="inlineStr">
        <is>
          <t>M8 (по плану)</t>
        </is>
      </c>
    </row>
    <row r="26">
      <c r="A26" s="4" t="inlineStr">
        <is>
          <t>Месяц recoup (накопленный кэш &gt; 0)</t>
        </is>
      </c>
      <c r="B26" s="2" t="inlineStr">
        <is>
          <t>M11 (по плану, +0.21 М)</t>
        </is>
      </c>
    </row>
    <row r="27">
      <c r="A27" s="4" t="inlineStr">
        <is>
          <t>Маркетинг суммарно за 18 мес</t>
        </is>
      </c>
      <c r="B27" s="62">
        <f>SUM(B13:S13)</f>
        <v/>
      </c>
    </row>
    <row r="29">
      <c r="A29" s="3" t="inlineStr">
        <is>
          <t>vs предыдущая lean-модель (3 мес build, без маркетинга):</t>
        </is>
      </c>
    </row>
    <row r="31">
      <c r="A31" s="4" t="inlineStr">
        <is>
          <t>Месяц break-even (EBITDA ≥ 0)</t>
        </is>
      </c>
      <c r="B31" s="63" t="inlineStr">
        <is>
          <t>M8</t>
        </is>
      </c>
      <c r="C31" s="64" t="inlineStr">
        <is>
          <t>M11</t>
        </is>
      </c>
      <c r="D31" s="4" t="inlineStr">
        <is>
          <t>+3 мес раньше</t>
        </is>
      </c>
    </row>
    <row r="32">
      <c r="A32" s="4" t="inlineStr">
        <is>
          <t>Месяц recoup (cash &gt; 0)</t>
        </is>
      </c>
      <c r="B32" s="63" t="inlineStr">
        <is>
          <t>M11</t>
        </is>
      </c>
      <c r="C32" s="64" t="inlineStr">
        <is>
          <t>M15</t>
        </is>
      </c>
      <c r="D32" s="4" t="inlineStr">
        <is>
          <t>+4 мес раньше</t>
        </is>
      </c>
    </row>
    <row r="33">
      <c r="A33" s="4" t="inlineStr">
        <is>
          <t>Min cash (макс. провал)</t>
        </is>
      </c>
      <c r="B33" s="63" t="inlineStr">
        <is>
          <t>~−2.0 М ₽</t>
        </is>
      </c>
      <c r="C33" s="64" t="inlineStr">
        <is>
          <t>~−2.65 М ₽</t>
        </is>
      </c>
      <c r="D33" s="4" t="inlineStr">
        <is>
          <t>−24%</t>
        </is>
      </c>
    </row>
    <row r="34">
      <c r="A34" s="4" t="inlineStr">
        <is>
          <t>MRR на M18</t>
        </is>
      </c>
      <c r="B34" s="63" t="inlineStr">
        <is>
          <t>~16.3 М ₽</t>
        </is>
      </c>
      <c r="C34" s="64" t="inlineStr">
        <is>
          <t>~9.6 М ₽</t>
        </is>
      </c>
      <c r="D34" s="4" t="inlineStr">
        <is>
          <t>+70%</t>
        </is>
      </c>
    </row>
    <row r="35">
      <c r="A35" s="4" t="inlineStr">
        <is>
          <t>Накопленный кэш на M18</t>
        </is>
      </c>
      <c r="B35" s="63" t="inlineStr">
        <is>
          <t>~+21.8 М ₽</t>
        </is>
      </c>
      <c r="C35" s="64" t="inlineStr">
        <is>
          <t>~+8.6 М ₽</t>
        </is>
      </c>
      <c r="D35" s="4" t="inlineStr">
        <is>
          <t>+150%</t>
        </is>
      </c>
    </row>
    <row r="36">
      <c r="A36" s="4" t="inlineStr">
        <is>
          <t>Маркетинг 18 мес</t>
        </is>
      </c>
      <c r="B36" s="63" t="inlineStr">
        <is>
          <t>~3.4 М ₽</t>
        </is>
      </c>
      <c r="C36" s="64" t="inlineStr">
        <is>
          <t>0 ₽</t>
        </is>
      </c>
      <c r="D36" s="4" t="inlineStr">
        <is>
          <t>+бюджет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2026-05-05T18:46:53Z</dcterms:created>
  <dcterms:modified xsi:type="dcterms:W3CDTF">2026-05-05T18:46:53Z</dcterms:modified>
</cp:coreProperties>
</file>