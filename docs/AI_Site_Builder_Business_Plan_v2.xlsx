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Позиционирование" sheetId="1" state="visible" r:id="rId1"/>
    <sheet name="1. Главная проблема" sheetId="2" state="visible" r:id="rId2"/>
    <sheet name="2. Решение" sheetId="3" state="visible" r:id="rId3"/>
    <sheet name="3. Рынок и актуальность" sheetId="4" state="visible" r:id="rId4"/>
    <sheet name="4. Конкуренты" sheetId="5" state="visible" r:id="rId5"/>
    <sheet name="5. Продукт - Фичи" sheetId="6" state="visible" r:id="rId6"/>
    <sheet name="6. Бизнес-модель" sheetId="7" state="visible" r:id="rId7"/>
    <sheet name="7. Юнит-экономика" sheetId="8" state="visible" r:id="rId8"/>
    <sheet name="8. План запуска" sheetId="9" state="visible" r:id="rId9"/>
    <sheet name="9. Команда" sheetId="10" state="visible" r:id="rId10"/>
    <sheet name="10. Риски" sheetId="11" state="visible" r:id="rId11"/>
    <sheet name="11. Тарифные пакеты" sheetId="12" state="visible" r:id="rId12"/>
    <sheet name="12. Задачи" sheetId="13" state="visible" r:id="rId13"/>
    <sheet name="13. Customer Journey" sheetId="14" state="visible" r:id="rId14"/>
    <sheet name="14. GTM план" sheetId="15" state="visible" r:id="rId15"/>
    <sheet name="15. Финмодель 18 мес" sheetId="16" state="visible" r:id="rId16"/>
    <sheet name="16. Roadmap версий" sheetId="17" state="visible" r:id="rId17"/>
    <sheet name="17. Тех.архитектура" sheetId="18" state="visible" r:id="rId18"/>
    <sheet name="18. Bootstrap-план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0.0&quot;x&quot;"/>
    <numFmt numFmtId="166" formatCode="0.0"/>
    <numFmt numFmtId="167" formatCode="#,##0&quot; ₽&quot;;-#,##0&quot; ₽&quot;;&quot;-&quot;"/>
    <numFmt numFmtId="168" formatCode="&quot;$&quot;#,##0.00;-&quot;$&quot;#,##0.00;&quot;-&quot;"/>
    <numFmt numFmtId="169" formatCode="0&quot; мес&quot;"/>
    <numFmt numFmtId="170" formatCode="#,##0 ₽"/>
  </numFmts>
  <fonts count="1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06060"/>
      <sz val="9"/>
    </font>
    <font>
      <name val="Arial"/>
      <b val="1"/>
      <sz val="10"/>
    </font>
    <font>
      <name val="Arial"/>
      <b val="1"/>
      <color rgb="001F4E78"/>
      <sz val="12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B7280"/>
      <sz val="10"/>
    </font>
    <font>
      <name val="Calibri"/>
      <b val="1"/>
      <color rgb="00FFFFFF"/>
      <sz val="12"/>
    </font>
    <font>
      <i val="1"/>
      <color rgb="006B7280"/>
    </font>
    <font>
      <color rgb="000000FF"/>
    </font>
    <font>
      <color rgb="00000000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EF0FF"/>
      </patternFill>
    </fill>
    <fill>
      <patternFill patternType="solid">
        <fgColor rgb="005E6AD2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0" pivotButton="0" quotePrefix="0" xfId="0"/>
    <xf numFmtId="0" fontId="2" fillId="6" borderId="0" pivotButton="0" quotePrefix="0" xfId="0"/>
    <xf numFmtId="0" fontId="5" fillId="6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6" fillId="0" borderId="1" pivotButton="0" quotePrefix="0" xfId="0"/>
    <xf numFmtId="3" fontId="8" fillId="3" borderId="1" pivotButton="0" quotePrefix="0" xfId="0"/>
    <xf numFmtId="164" fontId="8" fillId="0" borderId="1" pivotButton="0" quotePrefix="0" xfId="0"/>
    <xf numFmtId="165" fontId="8" fillId="3" borderId="1" pivotButton="0" quotePrefix="0" xfId="0"/>
    <xf numFmtId="166" fontId="8" fillId="0" borderId="1" pivotButton="0" quotePrefix="0" xfId="0"/>
    <xf numFmtId="167" fontId="8" fillId="3" borderId="1" pivotButton="0" quotePrefix="0" xfId="0"/>
    <xf numFmtId="1" fontId="8" fillId="0" borderId="1" pivotButton="0" quotePrefix="0" xfId="0"/>
    <xf numFmtId="0" fontId="6" fillId="7" borderId="1" pivotButton="0" quotePrefix="0" xfId="0"/>
    <xf numFmtId="168" fontId="8" fillId="0" borderId="1" pivotButton="0" quotePrefix="0" xfId="0"/>
    <xf numFmtId="167" fontId="9" fillId="0" borderId="1" pivotButton="0" quotePrefix="0" xfId="0"/>
    <xf numFmtId="164" fontId="9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167" fontId="9" fillId="3" borderId="1" pivotButton="0" quotePrefix="0" xfId="0"/>
    <xf numFmtId="164" fontId="9" fillId="2" borderId="1" pivotButton="0" quotePrefix="0" xfId="0"/>
    <xf numFmtId="167" fontId="8" fillId="0" borderId="1" pivotButton="0" quotePrefix="0" xfId="0"/>
    <xf numFmtId="165" fontId="9" fillId="0" borderId="1" pivotButton="0" quotePrefix="0" xfId="0"/>
    <xf numFmtId="3" fontId="9" fillId="0" borderId="1" pivotButton="0" quotePrefix="0" xfId="0"/>
    <xf numFmtId="0" fontId="6" fillId="0" borderId="0" pivotButton="0" quotePrefix="0" xfId="0"/>
    <xf numFmtId="167" fontId="8" fillId="0" borderId="1" applyAlignment="1" pivotButton="0" quotePrefix="0" xfId="0">
      <alignment horizontal="left" vertical="top" wrapText="1"/>
    </xf>
    <xf numFmtId="167" fontId="9" fillId="0" borderId="1" applyAlignment="1" pivotButton="0" quotePrefix="0" xfId="0">
      <alignment horizontal="left" vertical="top" wrapText="1"/>
    </xf>
    <xf numFmtId="0" fontId="3" fillId="2" borderId="1" pivotButton="0" quotePrefix="0" xfId="0"/>
    <xf numFmtId="0" fontId="0" fillId="2" borderId="1" pivotButton="0" quotePrefix="0" xfId="0"/>
    <xf numFmtId="167" fontId="3" fillId="2" borderId="1" pivotButton="0" quotePrefix="0" xfId="0"/>
    <xf numFmtId="0" fontId="4" fillId="3" borderId="1" applyAlignment="1" pivotButton="0" quotePrefix="0" xfId="0">
      <alignment horizontal="left" vertical="top" wrapText="1"/>
    </xf>
    <xf numFmtId="3" fontId="8" fillId="0" borderId="1" pivotButton="0" quotePrefix="0" xfId="0"/>
    <xf numFmtId="0" fontId="3" fillId="3" borderId="0" pivotButton="0" quotePrefix="0" xfId="0"/>
    <xf numFmtId="0" fontId="3" fillId="2" borderId="1" applyAlignment="1" pivotButton="0" quotePrefix="0" xfId="0">
      <alignment horizontal="left" vertical="top" wrapText="1"/>
    </xf>
    <xf numFmtId="167" fontId="9" fillId="2" borderId="1" pivotButton="0" quotePrefix="0" xfId="0"/>
    <xf numFmtId="0" fontId="3" fillId="3" borderId="1" pivotButton="0" quotePrefix="0" xfId="0"/>
    <xf numFmtId="167" fontId="9" fillId="0" borderId="0" pivotButton="0" quotePrefix="0" xfId="0"/>
    <xf numFmtId="167" fontId="3" fillId="3" borderId="0" pivotButton="0" quotePrefix="0" xfId="0"/>
    <xf numFmtId="169" fontId="9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vertical="top" wrapText="1"/>
    </xf>
    <xf numFmtId="0" fontId="14" fillId="8" borderId="0" pivotButton="0" quotePrefix="0" xfId="0"/>
    <xf numFmtId="0" fontId="0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10" borderId="0" pivotButton="0" quotePrefix="0" xfId="0"/>
    <xf numFmtId="0" fontId="14" fillId="8" borderId="0" applyAlignment="1" pivotButton="0" quotePrefix="0" xfId="0">
      <alignment horizontal="center" wrapText="1"/>
    </xf>
    <xf numFmtId="170" fontId="12" fillId="0" borderId="0" pivotButton="0" quotePrefix="0" xfId="0"/>
    <xf numFmtId="170" fontId="11" fillId="11" borderId="0" pivotButton="0" quotePrefix="0" xfId="0"/>
    <xf numFmtId="0" fontId="17" fillId="0" borderId="0" pivotButton="0" quotePrefix="0" xfId="0"/>
    <xf numFmtId="0" fontId="11" fillId="9" borderId="0" pivotButton="0" quotePrefix="0" xfId="0"/>
    <xf numFmtId="170" fontId="11" fillId="9" borderId="0" pivotButton="0" quotePrefix="0" xfId="0"/>
    <xf numFmtId="0" fontId="15" fillId="0" borderId="0" applyAlignment="1" pivotButton="0" quotePrefix="0" xfId="0">
      <alignment vertical="top" wrapText="1"/>
    </xf>
    <xf numFmtId="0" fontId="14" fillId="8" borderId="0" applyAlignment="1" pivotButton="0" quotePrefix="0" xfId="0">
      <alignment horizontal="center" vertical="center"/>
    </xf>
    <xf numFmtId="0" fontId="18" fillId="12" borderId="0" applyAlignment="1" pivotButton="0" quotePrefix="0" xfId="0">
      <alignment horizontal="center" vertical="center"/>
    </xf>
    <xf numFmtId="0" fontId="12" fillId="11" borderId="0" applyAlignment="1" pivotButton="0" quotePrefix="0" xfId="0">
      <alignment vertical="top" wrapText="1"/>
    </xf>
    <xf numFmtId="0" fontId="14" fillId="8" borderId="0" applyAlignment="1" pivotButton="0" quotePrefix="0" xfId="0">
      <alignment horizontal="center"/>
    </xf>
    <xf numFmtId="3" fontId="12" fillId="0" borderId="0" pivotButton="0" quotePrefix="0" xfId="0"/>
    <xf numFmtId="170" fontId="0" fillId="0" borderId="0" pivotButton="0" quotePrefix="0" xfId="0"/>
    <xf numFmtId="170" fontId="11" fillId="10" borderId="0" pivotButton="0" quotePrefix="0" xfId="0"/>
    <xf numFmtId="170" fontId="11" fillId="0" borderId="0" pivotButton="0" quotePrefix="0" xfId="0"/>
    <xf numFmtId="170" fontId="0" fillId="9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  <col width="50" customWidth="1" min="3" max="3"/>
    <col width="30" customWidth="1" min="4" max="4"/>
    <col width="30" customWidth="1" min="5" max="5"/>
  </cols>
  <sheetData>
    <row r="1">
      <c r="A1" s="58" t="inlineStr">
        <is>
          <t>Omnia.AI — 0. Позиционирование (v2, post-Promto)</t>
        </is>
      </c>
    </row>
    <row r="3" ht="32" customHeight="1">
      <c r="A3" s="59" t="inlineStr">
        <is>
          <t>ONE-LINER</t>
        </is>
      </c>
      <c r="B3" s="60" t="inlineStr">
        <is>
          <t>Omnia.AI — это Promto + всё, чего ему не хватает, чтобы выйти из MVP в production: backend, выделенный сервер, бэкапы, mix LLM, версионирование с откатом, 152-ФЗ.</t>
        </is>
      </c>
    </row>
    <row r="4" ht="32" customHeight="1">
      <c r="A4" s="59" t="inlineStr">
        <is>
          <t>КАТЕГОРИЯ</t>
        </is>
      </c>
      <c r="B4" s="60" t="inlineStr">
        <is>
          <t>End-to-end production-платформа на AI для российского рынка. Не AI-чат, не конструктор без AI, не агентство — новая категория.</t>
        </is>
      </c>
    </row>
    <row r="5" ht="18" customHeight="1">
      <c r="A5" s="61" t="inlineStr"/>
      <c r="B5" s="60" t="inlineStr"/>
    </row>
    <row r="6" ht="18" customHeight="1">
      <c r="A6" s="59" t="inlineStr">
        <is>
          <t>─── ПОЗИЦИОНИРОВАНИЕ vs КОНКУРЕНТЫ ───</t>
        </is>
      </c>
      <c r="B6" s="60" t="inlineStr"/>
    </row>
    <row r="7" ht="32" customHeight="1">
      <c r="A7" s="61" t="inlineStr">
        <is>
          <t>Promto.ai</t>
        </is>
      </c>
      <c r="B7" s="60" t="inlineStr">
        <is>
          <t>Они дают AI-чат + лендинги/чат-боты. Мы добавляем выделенный VPS, backend под ключ (FastAPI/Postgres), визуальный rollback, mix LLM, 152-ФЗ. Тот же entry-tier, шире функционал.</t>
        </is>
      </c>
    </row>
    <row r="8" ht="32" customHeight="1">
      <c r="A8" s="61" t="inlineStr">
        <is>
          <t>Lovable / v0 / Bolt</t>
        </is>
      </c>
      <c r="B8" s="60" t="inlineStr">
        <is>
          <t>Они не работают для РФ. Мы — рублёвая оплата, российские серверы, поддержка на русском, документы по 152-ФЗ.</t>
        </is>
      </c>
    </row>
    <row r="9" ht="18" customHeight="1">
      <c r="A9" s="61" t="inlineStr">
        <is>
          <t>Tilda / Wix</t>
        </is>
      </c>
      <c r="B9" s="60" t="inlineStr">
        <is>
          <t>У них нет AI. У нас AI + всё что у них.</t>
        </is>
      </c>
    </row>
    <row r="10" ht="18" customHeight="1">
      <c r="A10" s="61" t="inlineStr">
        <is>
          <t>Студия / агентство</t>
        </is>
      </c>
      <c r="B10" s="60" t="inlineStr">
        <is>
          <t>У них недели и 100к+. У нас минуты и 990 ₽/мес.</t>
        </is>
      </c>
    </row>
    <row r="11" ht="18" customHeight="1">
      <c r="A11" s="61" t="inlineStr"/>
      <c r="B11" s="60" t="inlineStr"/>
    </row>
    <row r="12" ht="18" customHeight="1">
      <c r="A12" s="59" t="inlineStr">
        <is>
          <t>─── TAGLINE-КАНДИДАТЫ ───</t>
        </is>
      </c>
      <c r="B12" s="60" t="inlineStr"/>
    </row>
    <row r="13" ht="32" customHeight="1">
      <c r="A13" s="61" t="inlineStr">
        <is>
          <t>• Промпт. Сайт. Откат.</t>
        </is>
      </c>
      <c r="B13" s="60" t="inlineStr">
        <is>
          <t>ГЛАВНЫЙ — закрывает уникальное преимущество (rollback)</t>
        </is>
      </c>
    </row>
    <row r="14" ht="18" customHeight="1">
      <c r="A14" s="61" t="inlineStr">
        <is>
          <t>• AI-кодинг с откатом и российским хостингом</t>
        </is>
      </c>
      <c r="B14" s="60" t="inlineStr">
        <is>
          <t>secondary</t>
        </is>
      </c>
    </row>
    <row r="15" ht="18" customHeight="1">
      <c r="A15" s="61" t="inlineStr">
        <is>
          <t>• Сайт за 5 минут вместо 2 месяцев</t>
        </is>
      </c>
      <c r="B15" s="60" t="inlineStr">
        <is>
          <t>speed</t>
        </is>
      </c>
    </row>
    <row r="16" ht="18" customHeight="1">
      <c r="A16" s="61" t="inlineStr">
        <is>
          <t>• 990 ₽ — production-стек на AI</t>
        </is>
      </c>
      <c r="B16" s="60" t="inlineStr">
        <is>
          <t>price-anchor</t>
        </is>
      </c>
    </row>
    <row r="17" ht="18" customHeight="1">
      <c r="A17" s="61" t="inlineStr"/>
      <c r="B17" s="60" t="inlineStr"/>
    </row>
    <row r="18" ht="18" customHeight="1">
      <c r="A18" s="59" t="inlineStr">
        <is>
          <t>─── ANTI-FEAR MESSAGING (для landing) ───</t>
        </is>
      </c>
      <c r="B18" s="60" t="inlineStr"/>
    </row>
    <row r="19" ht="32" customHeight="1">
      <c r="A19" s="61" t="inlineStr">
        <is>
          <t>«Слишком сложно для не-разработчика»</t>
        </is>
      </c>
      <c r="B19" s="60" t="inlineStr">
        <is>
          <t>Free 5 дней без карты + 5 шаблонов + видео-онбординг 2 мин.</t>
        </is>
      </c>
    </row>
    <row r="20" ht="32" customHeight="1">
      <c r="A20" s="61" t="inlineStr">
        <is>
          <t>«Promto уже есть, зачем переходить»</t>
        </is>
      </c>
      <c r="B20" s="60" t="inlineStr">
        <is>
          <t>Visual rollback + полный backend + 152-ФЗ + mix LLM. Та же цена — больше под капотом.</t>
        </is>
      </c>
    </row>
    <row r="21" ht="32" customHeight="1">
      <c r="A21" s="61" t="inlineStr">
        <is>
          <t>«AI сломает сайт»</t>
        </is>
      </c>
      <c r="B21" s="60" t="inlineStr">
        <is>
          <t>Визуальная лента версий, откат в 1 клик. Promto такого не делает.</t>
        </is>
      </c>
    </row>
    <row r="22" ht="32" customHeight="1">
      <c r="A22" s="61" t="inlineStr">
        <is>
          <t>«Сервис закроется — пропадут сайты»</t>
        </is>
      </c>
      <c r="B22" s="60" t="inlineStr">
        <is>
          <t>Экспорт ZIP/Docker в любой момент + опциональный GitHub-синк.</t>
        </is>
      </c>
    </row>
    <row r="23" ht="32" customHeight="1">
      <c r="A23" s="61" t="inlineStr">
        <is>
          <t>«Дорого по сравнению с Promto»</t>
        </is>
      </c>
      <c r="B23" s="60" t="inlineStr">
        <is>
          <t>Lite 990 ₽ ≈ Promto Старт 690 ₽. У нас за +300 ₽ — mix LLM, кастом-домен, версионирование.</t>
        </is>
      </c>
    </row>
    <row r="24" ht="18" customHeight="1">
      <c r="A24" s="61" t="inlineStr"/>
      <c r="B24" s="60" t="inlineStr"/>
    </row>
    <row r="25" ht="18" customHeight="1">
      <c r="A25" s="59" t="inlineStr">
        <is>
          <t>─── PROOF POINTS ───</t>
        </is>
      </c>
      <c r="B25" s="60" t="inlineStr"/>
    </row>
    <row r="26" ht="18" customHeight="1">
      <c r="A26" s="61" t="inlineStr">
        <is>
          <t>• Серверный пул через SafeCloud / CORTEL — production-инфраструктура с дня 0</t>
        </is>
      </c>
      <c r="B26" s="60" t="inlineStr"/>
    </row>
    <row r="27" ht="18" customHeight="1">
      <c r="A27" s="61" t="inlineStr">
        <is>
          <t>• Mix LLM (Claude/GPT/Yandex/GigaChat/DeepSeek/Qwen) — vendor lock-in protection + 152-ФЗ</t>
        </is>
      </c>
      <c r="B27" s="60" t="inlineStr"/>
    </row>
    <row r="28" ht="18" customHeight="1">
      <c r="A28" s="61" t="inlineStr">
        <is>
          <t>• Визуальное версионирование — единственный конкурент, который делает AI-кодинг безопасным</t>
        </is>
      </c>
      <c r="B28" s="60" t="inlineStr"/>
    </row>
    <row r="29" ht="18" customHeight="1">
      <c r="A29" s="61" t="inlineStr">
        <is>
          <t>• Юнит-экономика: gross margin 62%, LTV/CAC ~10x, точка безубыточности ~860 платящих</t>
        </is>
      </c>
      <c r="B29" s="60" t="inlineStr"/>
    </row>
    <row r="30" ht="18" customHeight="1">
      <c r="A30" s="61" t="inlineStr">
        <is>
          <t>• Один счёт для клиента вместо 5</t>
        </is>
      </c>
      <c r="B30" s="60" t="inlineStr"/>
    </row>
    <row r="31" ht="18" customHeight="1">
      <c r="A31" s="61" t="inlineStr">
        <is>
          <t>• Российское юрлицо, рублёвая оплата, РФ-хостинг</t>
        </is>
      </c>
      <c r="B31" s="60" t="inlineStr"/>
    </row>
    <row r="32" ht="45" customHeight="1"/>
    <row r="36" ht="28" customHeight="1"/>
    <row r="37" ht="28" customHeight="1"/>
    <row r="38" ht="28" customHeight="1"/>
    <row r="39" ht="28" customHeight="1"/>
    <row r="40" ht="28" customHeight="1"/>
    <row r="41" ht="28" customHeight="1"/>
  </sheetData>
  <mergeCells count="26">
    <mergeCell ref="A39:E39"/>
    <mergeCell ref="A48:E48"/>
    <mergeCell ref="A11:E11"/>
    <mergeCell ref="A51:E51"/>
    <mergeCell ref="A49:E49"/>
    <mergeCell ref="A45:E45"/>
    <mergeCell ref="A36:E36"/>
    <mergeCell ref="A7:E7"/>
    <mergeCell ref="A25:E25"/>
    <mergeCell ref="A41:E41"/>
    <mergeCell ref="A37:E37"/>
    <mergeCell ref="A46:E46"/>
    <mergeCell ref="A18:E18"/>
    <mergeCell ref="A12:E12"/>
    <mergeCell ref="A50:E50"/>
    <mergeCell ref="A47:E47"/>
    <mergeCell ref="A5:E5"/>
    <mergeCell ref="A8:E8"/>
    <mergeCell ref="C6:E6"/>
    <mergeCell ref="A35:E35"/>
    <mergeCell ref="A4:E4"/>
    <mergeCell ref="A38:E38"/>
    <mergeCell ref="A44:E44"/>
    <mergeCell ref="A40:E40"/>
    <mergeCell ref="A9:E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45" customWidth="1" min="4" max="4"/>
  </cols>
  <sheetData>
    <row r="1">
      <c r="A1" s="1" t="inlineStr">
        <is>
          <t>Omnia.AI — 1. Главная проблема</t>
        </is>
      </c>
    </row>
    <row r="2">
      <c r="A2" s="2" t="inlineStr">
        <is>
          <t>Боли целевых сегментов, последствия, что они делают сейчас</t>
        </is>
      </c>
    </row>
    <row r="4">
      <c r="A4" s="15" t="inlineStr">
        <is>
          <t>Сегмент</t>
        </is>
      </c>
      <c r="B4" s="15" t="inlineStr">
        <is>
          <t>Боль</t>
        </is>
      </c>
      <c r="C4" s="15" t="inlineStr">
        <is>
          <t>Последствия, если не решить</t>
        </is>
      </c>
      <c r="D4" s="15" t="inlineStr">
        <is>
          <t>Что делает сейчас</t>
        </is>
      </c>
    </row>
    <row r="5" ht="50" customHeight="1">
      <c r="A5" s="16" t="inlineStr">
        <is>
          <t>SMB / малый бизнес РФ</t>
        </is>
      </c>
      <c r="B5" s="16" t="inlineStr">
        <is>
          <t>Сайт от агентства = 150–500к ₽ и 2–4 мес. Нет бюджета и времени.</t>
        </is>
      </c>
      <c r="C5" s="16" t="inlineStr">
        <is>
          <t>Нет онлайн-присутствия → теряет клиентов конкурентам</t>
        </is>
      </c>
      <c r="D5" s="16" t="inlineStr">
        <is>
          <t>Идёт на Tilda (упирается в ограничения) или к фрилансеру (риски сроков и качества)</t>
        </is>
      </c>
    </row>
    <row r="6" ht="50" customHeight="1">
      <c r="A6" s="17" t="inlineStr">
        <is>
          <t>SMB / малый бизнес РФ</t>
        </is>
      </c>
      <c r="B6" s="17" t="inlineStr">
        <is>
          <t>Tilda/Wix не дают серьёзной бизнес-логики — личный кабинет, расчёты, интеграции</t>
        </is>
      </c>
      <c r="C6" s="17" t="inlineStr">
        <is>
          <t>Не масштабируется бизнес-процесс, ручные операции</t>
        </is>
      </c>
      <c r="D6" s="17" t="inlineStr">
        <is>
          <t>Платит интегратору 50–200к за допилку поверх Tilda</t>
        </is>
      </c>
    </row>
    <row r="7" ht="50" customHeight="1">
      <c r="A7" s="16" t="inlineStr">
        <is>
          <t>SMB / малый бизнес РФ</t>
        </is>
      </c>
      <c r="B7" s="16" t="inlineStr">
        <is>
          <t>После запуска сайта мелкие правки = снова искать подрядчика</t>
        </is>
      </c>
      <c r="C7" s="16" t="inlineStr">
        <is>
          <t>Сайт устаревает / не развивается</t>
        </is>
      </c>
      <c r="D7" s="16" t="inlineStr">
        <is>
          <t>Ничего не делает, либо разово платит за правки</t>
        </is>
      </c>
    </row>
    <row r="8" ht="50" customHeight="1">
      <c r="A8" s="17" t="inlineStr">
        <is>
          <t>Стартапы / фаундеры</t>
        </is>
      </c>
      <c r="B8" s="17" t="inlineStr">
        <is>
          <t>Нужен MVP за 1–2 недели при бюджете 0</t>
        </is>
      </c>
      <c r="C8" s="17" t="inlineStr">
        <is>
          <t>Окно тестирования гипотезы закрывается, конкуренты успевают</t>
        </is>
      </c>
      <c r="D8" s="17" t="inlineStr">
        <is>
          <t>Lovable/v0/Bolt — но без рублёвой оплаты, без backend под ключ, deploy через Vercel</t>
        </is>
      </c>
    </row>
    <row r="9" ht="50" customHeight="1">
      <c r="A9" s="16" t="inlineStr">
        <is>
          <t>Стартапы / фаундеры</t>
        </is>
      </c>
      <c r="B9" s="16" t="inlineStr">
        <is>
          <t>После MVP не на чем запустить продакшн (deploy, домен, БД, хостинг)</t>
        </is>
      </c>
      <c r="C9" s="16" t="inlineStr">
        <is>
          <t>Демо есть, продукта нет — инвесторы уходят</t>
        </is>
      </c>
      <c r="D9" s="16" t="inlineStr">
        <is>
          <t>Нанимает разработчика на freelance / тратит сам недели</t>
        </is>
      </c>
    </row>
    <row r="10" ht="50" customHeight="1">
      <c r="A10" s="17" t="inlineStr">
        <is>
          <t>Стартапы / фаундеры</t>
        </is>
      </c>
      <c r="B10" s="17" t="inlineStr">
        <is>
          <t>Уход Vercel/AWS из РФ, проблемы с оплатой зарубежных сервисов</t>
        </is>
      </c>
      <c r="C10" s="17" t="inlineStr">
        <is>
          <t>Платит криптой или через VPN-обходы, риск блокировки</t>
        </is>
      </c>
      <c r="D10" s="17" t="inlineStr">
        <is>
          <t>Просит знакомых оплатить с зарубежных карт</t>
        </is>
      </c>
    </row>
    <row r="11" ht="50" customHeight="1">
      <c r="A11" s="16" t="inlineStr">
        <is>
          <t>Фрилансеры / агентства (B2B2C)</t>
        </is>
      </c>
      <c r="B11" s="16" t="inlineStr">
        <is>
          <t>Кастомизация Tilda — ручная работа на каждого клиента, низкая маржа</t>
        </is>
      </c>
      <c r="C11" s="16" t="inlineStr">
        <is>
          <t>Невозможно масштабировать поток заказов</t>
        </is>
      </c>
      <c r="D11" s="16" t="inlineStr">
        <is>
          <t>Шаблонизация / отказ от мелких заказов</t>
        </is>
      </c>
    </row>
    <row r="12" ht="50" customHeight="1">
      <c r="A12" s="17" t="inlineStr">
        <is>
          <t>Фрилансеры / агентства (B2B2C)</t>
        </is>
      </c>
      <c r="B12" s="17" t="inlineStr">
        <is>
          <t>Нет инструмента "под ключ", чтобы быстро собрать → задеплоить → передать клиенту</t>
        </is>
      </c>
      <c r="C12" s="17" t="inlineStr">
        <is>
          <t>Цикл сделки 2–6 недель вместо дней</t>
        </is>
      </c>
      <c r="D12" s="17" t="inlineStr">
        <is>
          <t>Использует Tilda + ручной деплой на свой хостинг</t>
        </is>
      </c>
    </row>
    <row r="13" ht="50" customHeight="1">
      <c r="A13" s="16" t="inlineStr">
        <is>
          <t>B2C / физики</t>
        </is>
      </c>
      <c r="B13" s="16" t="inlineStr">
        <is>
          <t>Хочу страничку/портфолио, но не умею в код, и не хочу платить 30к</t>
        </is>
      </c>
      <c r="C13" s="16" t="inlineStr">
        <is>
          <t>Нет онлайн-визитки → не находят клиенты</t>
        </is>
      </c>
      <c r="D13" s="16" t="inlineStr">
        <is>
          <t>Соцсети как замена / Linktree / ничего</t>
        </is>
      </c>
    </row>
    <row r="14" ht="50" customHeight="1">
      <c r="A14" s="17" t="inlineStr">
        <is>
          <t>B2C / физики</t>
        </is>
      </c>
      <c r="B14" s="17" t="inlineStr">
        <is>
          <t>Конструкторы (Tilda, Wix) требуют времени на изучение, шаблоны "как у всех"</t>
        </is>
      </c>
      <c r="C14" s="17" t="inlineStr">
        <is>
          <t>Бросает на полпути, страничка не выходит</t>
        </is>
      </c>
      <c r="D14" s="17" t="inlineStr">
        <is>
          <t>Использует bio-ссылку в Instagram/Telegram</t>
        </is>
      </c>
    </row>
    <row r="15" ht="50" customHeight="1">
      <c r="A15" s="16" t="inlineStr">
        <is>
          <t>Все сегменты (универсальная боль)</t>
        </is>
      </c>
      <c r="B15" s="16" t="inlineStr">
        <is>
          <t>Боюсь сломать то, что уже работало. AI-чат "переделал" сайт по моему промпту — и стало хуже, а как вернуть назад — непонятно.</t>
        </is>
      </c>
      <c r="C15" s="16" t="inlineStr">
        <is>
          <t>Пользователь не пробует экспериментировать → продукт не растёт. Либо тратит деньги/токены на восстановление вручную.</t>
        </is>
      </c>
      <c r="D15" s="16" t="inlineStr">
        <is>
          <t>В Lovable/Cursor/v0 — копирует текст в файлы, пытается откатить через git (если умеет), либо просто бросает и начинает с нуля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1" t="inlineStr">
        <is>
          <t>Omnia.AI — 2. Решение</t>
        </is>
      </c>
    </row>
    <row r="2">
      <c r="A2" s="2" t="inlineStr">
        <is>
          <t>Маппинг: боль → решение → как реализуем технически</t>
        </is>
      </c>
    </row>
    <row r="4">
      <c r="A4" s="15" t="inlineStr">
        <is>
          <t>Боль</t>
        </is>
      </c>
      <c r="B4" s="15" t="inlineStr">
        <is>
          <t>Наше решение</t>
        </is>
      </c>
      <c r="C4" s="15" t="inlineStr">
        <is>
          <t>Реализация</t>
        </is>
      </c>
    </row>
    <row r="5" ht="50" customHeight="1">
      <c r="A5" s="16" t="inlineStr">
        <is>
          <t>Дорого/долго делать сайт</t>
        </is>
      </c>
      <c r="B5" s="16" t="inlineStr">
        <is>
          <t>AI-чат генерирует дизайн и вёрстку за минуты по промптам. Пользователь сам выбирает LLM (баланс цена/качество).</t>
        </is>
      </c>
      <c r="C5" s="16" t="inlineStr">
        <is>
          <t>Mix-LLM (Claude/GPT/YandexGPT/Qwen self-hosted) + библиотека стартовых шаблонов + live-preview редактор</t>
        </is>
      </c>
    </row>
    <row r="6" ht="50" customHeight="1">
      <c r="A6" s="17" t="inlineStr">
        <is>
          <t>Tilda/Wix без backend</t>
        </is>
      </c>
      <c r="B6" s="17" t="inlineStr">
        <is>
          <t>После генерации фронта AI-агент поднимает backend (API, БД, авторизация) на сервере партнёра SafeCloud / CORTEL</t>
        </is>
      </c>
      <c r="C6" s="17" t="inlineStr">
        <is>
          <t>AI-агент с ограниченным доступом к серверному пулу SafeCloud / CORTEL, готовые кирпичи (Postgres, REST API, JWT)</t>
        </is>
      </c>
    </row>
    <row r="7" ht="50" customHeight="1">
      <c r="A7" s="16" t="inlineStr">
        <is>
          <t>Нет deploy/домена</t>
        </is>
      </c>
      <c r="B7" s="16" t="inlineStr">
        <is>
          <t>Подписка включает сервер + автоматическую регистрацию домена и SSL</t>
        </is>
      </c>
      <c r="C7" s="16" t="inlineStr">
        <is>
          <t>AI deploy-агент, партнёрский DNS API, Lets Encrypt, скрипты Ansible/Docker</t>
        </is>
      </c>
    </row>
    <row r="8" ht="50" customHeight="1">
      <c r="A8" s="17" t="inlineStr">
        <is>
          <t>После запуска проект мёртв</t>
        </is>
      </c>
      <c r="B8" s="17" t="inlineStr">
        <is>
          <t>В подписке — кошелёк токенов: можно через AI-чат добавлять фичи и далее</t>
        </is>
      </c>
      <c r="C8" s="17" t="inlineStr">
        <is>
          <t>Долгосрочная сессия проекта, версионирование, история промптов</t>
        </is>
      </c>
    </row>
    <row r="9" ht="50" customHeight="1">
      <c r="A9" s="16" t="inlineStr">
        <is>
          <t>Lovable/v0 не работают для РФ</t>
        </is>
      </c>
      <c r="B9" s="16" t="inlineStr">
        <is>
          <t>Рублёвая оплата, РФ-хостинг, поддержка на русском, документы по 152-ФЗ</t>
        </is>
      </c>
      <c r="C9" s="16" t="inlineStr">
        <is>
          <t>ЮKassa/Tinkoff, российское юрлицо, шаблоны ОРД для пользователей</t>
        </is>
      </c>
    </row>
    <row r="10" ht="50" customHeight="1">
      <c r="A10" s="17" t="inlineStr">
        <is>
          <t>Серверы дорого / непонятно как настраивать</t>
        </is>
      </c>
      <c r="B10" s="17" t="inlineStr">
        <is>
          <t>Серверная подписка S/M/L через SafeCloud / CORTEL с прозрачным месячным тарифом</t>
        </is>
      </c>
      <c r="C10" s="17" t="inlineStr">
        <is>
          <t>Партнёрство с SafeCloud / CORTEL (наш исходный актив), пул преднастроенных VPS</t>
        </is>
      </c>
    </row>
    <row r="11" ht="50" customHeight="1">
      <c r="A11" s="16" t="inlineStr">
        <is>
          <t>Кастом-логика не помещается в шаблон</t>
        </is>
      </c>
      <c r="B11" s="16" t="inlineStr">
        <is>
          <t>Доступ к команде инженеров (часы со скидкой в Pro/Enterprise)</t>
        </is>
      </c>
      <c r="C11" s="16" t="inlineStr">
        <is>
          <t>Marketplace часов, тикеты с SLA, прозрачная оценка</t>
        </is>
      </c>
    </row>
    <row r="12" ht="50" customHeight="1">
      <c r="A12" s="17" t="inlineStr">
        <is>
          <t>Боюсь, что AI сломает прод</t>
        </is>
      </c>
      <c r="B12" s="17" t="inlineStr">
        <is>
          <t>Staging + одобрение опасных операций пользователем + rollback</t>
        </is>
      </c>
      <c r="C12" s="17" t="inlineStr">
        <is>
          <t>Версионирование артефактов, snapshot БД перед миграциями, кнопка отката</t>
        </is>
      </c>
    </row>
    <row r="13" ht="50" customHeight="1">
      <c r="A13" s="16" t="inlineStr">
        <is>
          <t>Не знаю, какой LLM выбрать</t>
        </is>
      </c>
      <c r="B13" s="16" t="inlineStr">
        <is>
          <t>Прозрачные тарифы по моделям: Haiku — дёшево/быстро, Sonnet — лучшее качество, Qwen self-hosted — почти бесплатно</t>
        </is>
      </c>
      <c r="C13" s="16" t="inlineStr">
        <is>
          <t>Калькулятор расхода токенов в ЛК, рекомендации под задачу</t>
        </is>
      </c>
    </row>
    <row r="14" ht="50" customHeight="1">
      <c r="A14" s="17" t="inlineStr">
        <is>
          <t>Боюсь сломать сайт промптом</t>
        </is>
      </c>
      <c r="B14" s="17" t="inlineStr">
        <is>
          <t>Визуальная временная шкала проекта: после каждого промпта — автоматический snapshot. Можно откатиться к любой версии в один клик, как в галерее фото.</t>
        </is>
      </c>
      <c r="C14" s="17" t="inlineStr">
        <is>
          <t>Git под капотом, но без git-терминологии. UI: лента превью версий, дата, краткое описание промпта. Кнопка "Вернуться сюда". Делает процесс безопасным для не-разработчика.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60" customWidth="1" min="3" max="3"/>
  </cols>
  <sheetData>
    <row r="1">
      <c r="A1" s="1" t="inlineStr">
        <is>
          <t>Omnia.AI — 3. Рынок и актуальность</t>
        </is>
      </c>
    </row>
    <row r="2">
      <c r="A2" s="2" t="inlineStr">
        <is>
          <t>TAM/SAM/SOM, тренды и почему сейчас</t>
        </is>
      </c>
    </row>
    <row r="4">
      <c r="A4" s="15" t="inlineStr">
        <is>
          <t>Уровень</t>
        </is>
      </c>
      <c r="B4" s="15" t="inlineStr">
        <is>
          <t>Оценка (₽/год)</t>
        </is>
      </c>
      <c r="C4" s="15" t="inlineStr">
        <is>
          <t>Источник / комментарий</t>
        </is>
      </c>
    </row>
    <row r="5" ht="40" customHeight="1">
      <c r="A5" s="16" t="inlineStr">
        <is>
          <t>TAM (РФ): конструкторы сайтов + хостинг + AI-разработка</t>
        </is>
      </c>
      <c r="B5" s="16" t="inlineStr">
        <is>
          <t>30–50 млрд</t>
        </is>
      </c>
      <c r="C5" s="16" t="inlineStr">
        <is>
          <t>Tilda ~2–3 млрд выручки, рынок хостинга РФ ~15 млрд (РАЭК), разработка под заказ — кратно больше [TBD: уточнить источниками]</t>
        </is>
      </c>
    </row>
    <row r="6" ht="40" customHeight="1">
      <c r="A6" s="17" t="inlineStr">
        <is>
          <t>SAM: SMB и фрилансеры с потребностью в AI-builder</t>
        </is>
      </c>
      <c r="B6" s="17" t="inlineStr">
        <is>
          <t>5–8 млрд</t>
        </is>
      </c>
      <c r="C6" s="17" t="inlineStr">
        <is>
          <t>Часть TAM, доступная нашему позиционированию (РФ + AI + end-to-end)</t>
        </is>
      </c>
    </row>
    <row r="7" ht="40" customHeight="1">
      <c r="A7" s="16" t="inlineStr">
        <is>
          <t>SOM (3 года, 0.5–1% SAM)</t>
        </is>
      </c>
      <c r="B7" s="16" t="inlineStr">
        <is>
          <t>25–80 млн</t>
        </is>
      </c>
      <c r="C7" s="16" t="inlineStr">
        <is>
          <t>Реалистичная цель выручки к концу 3-го года</t>
        </is>
      </c>
    </row>
    <row r="10">
      <c r="A10" s="19" t="inlineStr">
        <is>
          <t>Почему сейчас</t>
        </is>
      </c>
    </row>
    <row r="11">
      <c r="A11" s="11" t="inlineStr">
        <is>
          <t>• Бум AI-coding (Cursor, Claude Code, Lovable, v0, Bolt) — технология стала массовой и понятной потребителю в 2024–2026</t>
        </is>
      </c>
    </row>
    <row r="12">
      <c r="A12" s="11" t="inlineStr">
        <is>
          <t>• "Vibe-coding" как термин: non-developerы пробуют AI-кодинг для своих задач</t>
        </is>
      </c>
    </row>
    <row r="13">
      <c r="A13" s="11" t="inlineStr">
        <is>
          <t>• Уход Vercel, Netlify, AWS из РФ + санкции на платежи → ниша для рублёвого аналога с РФ-хостингом</t>
        </is>
      </c>
    </row>
    <row r="14">
      <c r="A14" s="11" t="inlineStr">
        <is>
          <t>• Рост стоимости найма frontend/backend в РФ +30–50% за 2 года → запрос на автоматизацию</t>
        </is>
      </c>
    </row>
    <row r="15">
      <c r="A15" s="11" t="inlineStr">
        <is>
          <t>• Закон "О приземлении" и 152-ФЗ → потребность в РФ-хостинге для ряда сегментов</t>
        </is>
      </c>
    </row>
    <row r="16">
      <c r="A16" s="11" t="inlineStr">
        <is>
          <t>• Tilda/Wix давно не получают качественных продуктовых апдейтов под AI-эпоху</t>
        </is>
      </c>
    </row>
    <row r="17">
      <c r="A17" s="11" t="inlineStr">
        <is>
          <t>• У нас на руках готовый партнёр-провайдер SafeCloud / CORTEL — отдельное конкурентное преимущество (capex и юридическая база уже есть)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</cols>
  <sheetData>
    <row r="1">
      <c r="A1" s="58" t="inlineStr">
        <is>
          <t>Omnia.AI — 4. Конкуренты (v2, добавлен Promto.ai как ключевой конкурент)</t>
        </is>
      </c>
    </row>
    <row r="2" ht="32" customHeight="1">
      <c r="A2" s="62" t="inlineStr">
        <is>
          <t>Сравнительная матрица. Зелёный = у нас лучше; жёлтый = паритет; красный = у конкурента лучше.</t>
        </is>
      </c>
    </row>
    <row r="4" ht="36" customHeight="1">
      <c r="A4" s="63" t="inlineStr">
        <is>
          <t>Параметр</t>
        </is>
      </c>
      <c r="B4" s="63" t="inlineStr">
        <is>
          <t>Omnia.AI</t>
        </is>
      </c>
      <c r="C4" s="63" t="inlineStr">
        <is>
          <t>Promto.ai</t>
        </is>
      </c>
      <c r="D4" s="63" t="inlineStr">
        <is>
          <t>Lovable / v0 / Bolt</t>
        </is>
      </c>
      <c r="E4" s="63" t="inlineStr">
        <is>
          <t>Tilda / Wix</t>
        </is>
      </c>
      <c r="F4" s="63" t="inlineStr">
        <is>
          <t>Webflow</t>
        </is>
      </c>
      <c r="G4" s="63" t="inlineStr">
        <is>
          <t>Студия</t>
        </is>
      </c>
    </row>
    <row r="5" ht="32" customHeight="1">
      <c r="A5" s="60" t="inlineStr">
        <is>
          <t>AI-генерация фронта</t>
        </is>
      </c>
      <c r="B5" s="60" t="inlineStr">
        <is>
          <t>да (mix LLM)</t>
        </is>
      </c>
      <c r="C5" s="60" t="inlineStr">
        <is>
          <t>да (Claude only)</t>
        </is>
      </c>
      <c r="D5" s="60" t="inlineStr">
        <is>
          <t>да</t>
        </is>
      </c>
      <c r="E5" s="60" t="inlineStr">
        <is>
          <t>нет</t>
        </is>
      </c>
      <c r="F5" s="60" t="inlineStr">
        <is>
          <t>нет</t>
        </is>
      </c>
      <c r="G5" s="60" t="inlineStr">
        <is>
          <t>нет</t>
        </is>
      </c>
    </row>
    <row r="6" ht="32" customHeight="1">
      <c r="A6" s="64" t="inlineStr">
        <is>
          <t>Mix LLM (выбор модели)</t>
        </is>
      </c>
      <c r="B6" s="64" t="inlineStr">
        <is>
          <t>★ ДА — 6 моделей</t>
        </is>
      </c>
      <c r="C6" s="64" t="inlineStr">
        <is>
          <t>нет</t>
        </is>
      </c>
      <c r="D6" s="64" t="inlineStr">
        <is>
          <t>нет</t>
        </is>
      </c>
      <c r="E6" s="64" t="inlineStr">
        <is>
          <t>н/п</t>
        </is>
      </c>
      <c r="F6" s="64" t="inlineStr">
        <is>
          <t>н/п</t>
        </is>
      </c>
      <c r="G6" s="64" t="inlineStr">
        <is>
          <t>н/п</t>
        </is>
      </c>
    </row>
    <row r="7" ht="32" customHeight="1">
      <c r="A7" s="64" t="inlineStr">
        <is>
          <t>Backend под ключ (Postgres+API+JWT)</t>
        </is>
      </c>
      <c r="B7" s="64" t="inlineStr">
        <is>
          <t>★ ДА — конкретно</t>
        </is>
      </c>
      <c r="C7" s="64" t="inlineStr">
        <is>
          <t>размыто (PHP-Redis)</t>
        </is>
      </c>
      <c r="D7" s="64" t="inlineStr">
        <is>
          <t>частично (Supabase)</t>
        </is>
      </c>
      <c r="E7" s="64" t="inlineStr">
        <is>
          <t>нет</t>
        </is>
      </c>
      <c r="F7" s="64" t="inlineStr">
        <is>
          <t>базовый</t>
        </is>
      </c>
      <c r="G7" s="64" t="inlineStr">
        <is>
          <t>да</t>
        </is>
      </c>
    </row>
    <row r="8" ht="32" customHeight="1">
      <c r="A8" s="60" t="inlineStr">
        <is>
          <t>Auto-deploy</t>
        </is>
      </c>
      <c r="B8" s="60" t="inlineStr">
        <is>
          <t>да (SafeCloud)</t>
        </is>
      </c>
      <c r="C8" s="60" t="inlineStr">
        <is>
          <t>да (общий пул)</t>
        </is>
      </c>
      <c r="D8" s="60" t="inlineStr">
        <is>
          <t>через Vercel</t>
        </is>
      </c>
      <c r="E8" s="60" t="inlineStr">
        <is>
          <t>свой</t>
        </is>
      </c>
      <c r="F8" s="60" t="inlineStr">
        <is>
          <t>свой</t>
        </is>
      </c>
      <c r="G8" s="60" t="inlineStr">
        <is>
          <t>ручной</t>
        </is>
      </c>
    </row>
    <row r="9" ht="32" customHeight="1">
      <c r="A9" s="64" t="inlineStr">
        <is>
          <t>Выделенный VPS клиенту</t>
        </is>
      </c>
      <c r="B9" s="64" t="inlineStr">
        <is>
          <t>★ ДА (Pro+)</t>
        </is>
      </c>
      <c r="C9" s="64" t="inlineStr">
        <is>
          <t>shared</t>
        </is>
      </c>
      <c r="D9" s="64" t="inlineStr">
        <is>
          <t>нет</t>
        </is>
      </c>
      <c r="E9" s="64" t="inlineStr">
        <is>
          <t>shared</t>
        </is>
      </c>
      <c r="F9" s="64" t="inlineStr">
        <is>
          <t>shared</t>
        </is>
      </c>
      <c r="G9" s="64" t="inlineStr">
        <is>
          <t>иногда</t>
        </is>
      </c>
    </row>
    <row r="10" ht="32" customHeight="1">
      <c r="A10" s="64" t="inlineStr">
        <is>
          <t>Кастомный домен</t>
        </is>
      </c>
      <c r="B10" s="64" t="inlineStr">
        <is>
          <t>★ от Lite (990 ₽)</t>
        </is>
      </c>
      <c r="C10" s="64" t="inlineStr">
        <is>
          <t>только Pro+</t>
        </is>
      </c>
      <c r="D10" s="64" t="inlineStr">
        <is>
          <t>нет</t>
        </is>
      </c>
      <c r="E10" s="64" t="inlineStr">
        <is>
          <t>да</t>
        </is>
      </c>
      <c r="F10" s="64" t="inlineStr">
        <is>
          <t>да</t>
        </is>
      </c>
      <c r="G10" s="64" t="inlineStr">
        <is>
          <t>да</t>
        </is>
      </c>
    </row>
    <row r="11" ht="32" customHeight="1">
      <c r="A11" s="64" t="inlineStr">
        <is>
          <t>Российские серверы (152-ФЗ)</t>
        </is>
      </c>
      <c r="B11" s="64" t="inlineStr">
        <is>
          <t>★ ДА</t>
        </is>
      </c>
      <c r="C11" s="64" t="inlineStr">
        <is>
          <t>нет</t>
        </is>
      </c>
      <c r="D11" s="64" t="inlineStr">
        <is>
          <t>нет</t>
        </is>
      </c>
      <c r="E11" s="64" t="inlineStr">
        <is>
          <t>сертифицир.</t>
        </is>
      </c>
      <c r="F11" s="64" t="inlineStr">
        <is>
          <t>нет</t>
        </is>
      </c>
      <c r="G11" s="64" t="inlineStr">
        <is>
          <t>зависит</t>
        </is>
      </c>
    </row>
    <row r="12" ht="32" customHeight="1">
      <c r="A12" s="64" t="inlineStr">
        <is>
          <t>Российские LLM (Yandex/GigaChat)</t>
        </is>
      </c>
      <c r="B12" s="64" t="inlineStr">
        <is>
          <t>★ ДА</t>
        </is>
      </c>
      <c r="C12" s="64" t="inlineStr">
        <is>
          <t>нет</t>
        </is>
      </c>
      <c r="D12" s="64" t="inlineStr">
        <is>
          <t>нет</t>
        </is>
      </c>
      <c r="E12" s="64" t="inlineStr">
        <is>
          <t>н/п</t>
        </is>
      </c>
      <c r="F12" s="64" t="inlineStr">
        <is>
          <t>н/п</t>
        </is>
      </c>
      <c r="G12" s="64" t="inlineStr">
        <is>
          <t>н/п</t>
        </is>
      </c>
    </row>
    <row r="13" ht="32" customHeight="1">
      <c r="A13" s="60" t="inlineStr">
        <is>
          <t>Рублёвая оплата (ЮKassa/Tinkoff)</t>
        </is>
      </c>
      <c r="B13" s="60" t="inlineStr">
        <is>
          <t>да</t>
        </is>
      </c>
      <c r="C13" s="60" t="inlineStr">
        <is>
          <t>да</t>
        </is>
      </c>
      <c r="D13" s="60" t="inlineStr">
        <is>
          <t>нет</t>
        </is>
      </c>
      <c r="E13" s="60" t="inlineStr">
        <is>
          <t>да</t>
        </is>
      </c>
      <c r="F13" s="60" t="inlineStr">
        <is>
          <t>нет</t>
        </is>
      </c>
      <c r="G13" s="60" t="inlineStr">
        <is>
          <t>да</t>
        </is>
      </c>
    </row>
    <row r="14" ht="32" customHeight="1">
      <c r="A14" s="64" t="inlineStr">
        <is>
          <t>Free-тариф без карты</t>
        </is>
      </c>
      <c r="B14" s="64" t="inlineStr">
        <is>
          <t>★ ДА — 5 дней</t>
        </is>
      </c>
      <c r="C14" s="64" t="inlineStr">
        <is>
          <t>да</t>
        </is>
      </c>
      <c r="D14" s="64" t="inlineStr">
        <is>
          <t>trial</t>
        </is>
      </c>
      <c r="E14" s="64" t="inlineStr">
        <is>
          <t>да</t>
        </is>
      </c>
      <c r="F14" s="64" t="inlineStr">
        <is>
          <t>да</t>
        </is>
      </c>
      <c r="G14" s="64" t="inlineStr">
        <is>
          <t>нет</t>
        </is>
      </c>
    </row>
    <row r="15" ht="32" customHeight="1">
      <c r="A15" s="60" t="inlineStr">
        <is>
          <t>Минимальная цена</t>
        </is>
      </c>
      <c r="B15" s="60" t="inlineStr">
        <is>
          <t>990 ₽</t>
        </is>
      </c>
      <c r="C15" s="60" t="inlineStr">
        <is>
          <t>690 ₽</t>
        </is>
      </c>
      <c r="D15" s="60" t="inlineStr">
        <is>
          <t>$20+</t>
        </is>
      </c>
      <c r="E15" s="60" t="inlineStr">
        <is>
          <t>от 12к/год</t>
        </is>
      </c>
      <c r="F15" s="60" t="inlineStr">
        <is>
          <t>$14/мес</t>
        </is>
      </c>
      <c r="G15" s="60" t="inlineStr">
        <is>
          <t>100к+ ₽</t>
        </is>
      </c>
    </row>
    <row r="16" ht="32" customHeight="1">
      <c r="A16" s="60" t="inlineStr">
        <is>
          <t>Время до live</t>
        </is>
      </c>
      <c r="B16" s="60" t="inlineStr">
        <is>
          <t>минуты</t>
        </is>
      </c>
      <c r="C16" s="60" t="inlineStr">
        <is>
          <t>2-5 минут</t>
        </is>
      </c>
      <c r="D16" s="60" t="inlineStr">
        <is>
          <t>час + ручной deploy</t>
        </is>
      </c>
      <c r="E16" s="60" t="inlineStr">
        <is>
          <t>часы</t>
        </is>
      </c>
      <c r="F16" s="60" t="inlineStr">
        <is>
          <t>часы</t>
        </is>
      </c>
      <c r="G16" s="60" t="inlineStr">
        <is>
          <t>недели</t>
        </is>
      </c>
    </row>
    <row r="17">
      <c r="A17" s="64" t="inlineStr">
        <is>
          <t>★ Визуальное версионирование с rollback</t>
        </is>
      </c>
      <c r="B17" s="64" t="inlineStr">
        <is>
          <t>★ ДА (1 клик)</t>
        </is>
      </c>
      <c r="C17" s="64" t="inlineStr">
        <is>
          <t>нет</t>
        </is>
      </c>
      <c r="D17" s="64" t="inlineStr">
        <is>
          <t>нет</t>
        </is>
      </c>
      <c r="E17" s="64" t="inlineStr">
        <is>
          <t>вручную</t>
        </is>
      </c>
      <c r="F17" s="64" t="inlineStr">
        <is>
          <t>нет</t>
        </is>
      </c>
      <c r="G17" s="64" t="inlineStr">
        <is>
          <t>git вручную</t>
        </is>
      </c>
    </row>
    <row r="18">
      <c r="A18" s="64" t="inlineStr">
        <is>
          <t>Бэкапы БД (daily snapshot)</t>
        </is>
      </c>
      <c r="B18" s="64" t="inlineStr">
        <is>
          <t>★ ДА</t>
        </is>
      </c>
      <c r="C18" s="64" t="inlineStr">
        <is>
          <t>не упомянуто</t>
        </is>
      </c>
      <c r="D18" s="64" t="inlineStr">
        <is>
          <t>нет</t>
        </is>
      </c>
      <c r="E18" s="64" t="inlineStr">
        <is>
          <t>базово</t>
        </is>
      </c>
      <c r="F18" s="64" t="inlineStr">
        <is>
          <t>базово</t>
        </is>
      </c>
      <c r="G18" s="64" t="inlineStr">
        <is>
          <t>зависит</t>
        </is>
      </c>
    </row>
    <row r="19">
      <c r="A19" s="64" t="inlineStr">
        <is>
          <t>Мониторинг + SLA</t>
        </is>
      </c>
      <c r="B19" s="64" t="inlineStr">
        <is>
          <t>★ 99.5-99.95%</t>
        </is>
      </c>
      <c r="C19" s="64" t="inlineStr">
        <is>
          <t>не упомянуто</t>
        </is>
      </c>
      <c r="D19" s="64" t="inlineStr">
        <is>
          <t>нет</t>
        </is>
      </c>
      <c r="E19" s="64" t="inlineStr">
        <is>
          <t>98%</t>
        </is>
      </c>
      <c r="F19" s="64" t="inlineStr">
        <is>
          <t>99%</t>
        </is>
      </c>
      <c r="G19" s="64" t="inlineStr">
        <is>
          <t>договорной</t>
        </is>
      </c>
    </row>
    <row r="20" ht="75" customHeight="1">
      <c r="A20" s="64" t="inlineStr">
        <is>
          <t>Чат-боты (TG/VK)</t>
        </is>
      </c>
      <c r="B20" s="64" t="inlineStr">
        <is>
          <t>★ Pro+</t>
        </is>
      </c>
      <c r="C20" s="64" t="inlineStr">
        <is>
          <t>★ да</t>
        </is>
      </c>
      <c r="D20" s="64" t="inlineStr">
        <is>
          <t>нет</t>
        </is>
      </c>
      <c r="E20" s="64" t="inlineStr">
        <is>
          <t>нет</t>
        </is>
      </c>
      <c r="F20" s="64" t="inlineStr">
        <is>
          <t>нет</t>
        </is>
      </c>
      <c r="G20" s="64" t="inlineStr">
        <is>
          <t>да</t>
        </is>
      </c>
    </row>
    <row r="21" ht="75" customHeight="1">
      <c r="A21" s="60" t="inlineStr">
        <is>
          <t>Бизнес-автоматизации</t>
        </is>
      </c>
      <c r="B21" s="60" t="inlineStr">
        <is>
          <t>Pro+</t>
        </is>
      </c>
      <c r="C21" s="60" t="inlineStr">
        <is>
          <t>★ да</t>
        </is>
      </c>
      <c r="D21" s="60" t="inlineStr">
        <is>
          <t>нет</t>
        </is>
      </c>
      <c r="E21" s="60" t="inlineStr">
        <is>
          <t>Zapier</t>
        </is>
      </c>
      <c r="F21" s="60" t="inlineStr">
        <is>
          <t>Zapier</t>
        </is>
      </c>
      <c r="G21" s="60" t="inlineStr">
        <is>
          <t>да</t>
        </is>
      </c>
    </row>
    <row r="22" ht="75" customHeight="1">
      <c r="A22" s="64" t="inlineStr">
        <is>
          <t>1С-интеграция</t>
        </is>
      </c>
      <c r="B22" s="64" t="inlineStr">
        <is>
          <t>★ Enterprise</t>
        </is>
      </c>
      <c r="C22" s="64" t="inlineStr">
        <is>
          <t>★ упоминается</t>
        </is>
      </c>
      <c r="D22" s="64" t="inlineStr">
        <is>
          <t>нет</t>
        </is>
      </c>
      <c r="E22" s="64" t="inlineStr">
        <is>
          <t>плагины</t>
        </is>
      </c>
      <c r="F22" s="64" t="inlineStr">
        <is>
          <t>нет</t>
        </is>
      </c>
      <c r="G22" s="64" t="inlineStr">
        <is>
          <t>да</t>
        </is>
      </c>
    </row>
    <row r="23">
      <c r="A23" s="64" t="inlineStr">
        <is>
          <t>Часы инженеров со скидкой</t>
        </is>
      </c>
      <c r="B23" s="64" t="inlineStr">
        <is>
          <t>★ Pro+</t>
        </is>
      </c>
      <c r="C23" s="64" t="inlineStr">
        <is>
          <t>нет</t>
        </is>
      </c>
      <c r="D23" s="64" t="inlineStr">
        <is>
          <t>нет</t>
        </is>
      </c>
      <c r="E23" s="64" t="inlineStr">
        <is>
          <t>через сторонних</t>
        </is>
      </c>
      <c r="F23" s="64" t="inlineStr">
        <is>
          <t>через сторонних</t>
        </is>
      </c>
      <c r="G23" s="64" t="inlineStr">
        <is>
          <t>вся работа</t>
        </is>
      </c>
    </row>
    <row r="24" ht="50" customHeight="1">
      <c r="A24" s="64" t="inlineStr">
        <is>
          <t>Self-export (ZIP/Docker)</t>
        </is>
      </c>
      <c r="B24" s="64" t="inlineStr">
        <is>
          <t>★ ДА</t>
        </is>
      </c>
      <c r="C24" s="64" t="inlineStr">
        <is>
          <t>не упомянуто</t>
        </is>
      </c>
      <c r="D24" s="64" t="inlineStr">
        <is>
          <t>иногда</t>
        </is>
      </c>
      <c r="E24" s="64" t="inlineStr">
        <is>
          <t>нет</t>
        </is>
      </c>
      <c r="F24" s="64" t="inlineStr">
        <is>
          <t>нет</t>
        </is>
      </c>
      <c r="G24" s="64" t="inlineStr">
        <is>
          <t>сорсы выдаются</t>
        </is>
      </c>
    </row>
    <row r="25">
      <c r="A25" s="64" t="inlineStr">
        <is>
          <t>GitHub-синк (опционально)</t>
        </is>
      </c>
      <c r="B25" s="64" t="inlineStr">
        <is>
          <t>★ Pro+</t>
        </is>
      </c>
      <c r="C25" s="64" t="inlineStr">
        <is>
          <t>не упомянуто</t>
        </is>
      </c>
      <c r="D25" s="64" t="inlineStr">
        <is>
          <t>иногда</t>
        </is>
      </c>
      <c r="E25" s="64" t="inlineStr">
        <is>
          <t>нет</t>
        </is>
      </c>
      <c r="F25" s="64" t="inlineStr">
        <is>
          <t>нет</t>
        </is>
      </c>
      <c r="G25" s="64" t="inlineStr">
        <is>
          <t>да</t>
        </is>
      </c>
    </row>
    <row r="27">
      <c r="A27" s="65" t="inlineStr">
        <is>
          <t>УНИКАЛЬНОЕ ПРЕДЛОЖЕНИЕ vs Promto.ai (3 главных аргумента)</t>
        </is>
      </c>
    </row>
    <row r="29">
      <c r="A29" s="59" t="inlineStr">
        <is>
          <t>1. ★ Визуальный rollback</t>
        </is>
      </c>
      <c r="B29" s="66" t="inlineStr">
        <is>
          <t>После каждого промпта — снапшот с превью. Откат в 1 клик. Promto не имеет.</t>
        </is>
      </c>
    </row>
    <row r="31">
      <c r="A31" s="59" t="inlineStr">
        <is>
          <t>2. Mix LLM (vendor lock-in protection)</t>
        </is>
      </c>
      <c r="B31" s="66" t="inlineStr">
        <is>
          <t>Promto = только Anthropic. Мы = 6 провайдеров включая YandexGPT/GigaChat для 152-ФЗ. Если Anthropic ограничит РФ — Promto встанет.</t>
        </is>
      </c>
    </row>
    <row r="33">
      <c r="A33" s="59" t="inlineStr">
        <is>
          <t>3. Полный backend под ключ</t>
        </is>
      </c>
      <c r="B33" s="66" t="inlineStr">
        <is>
          <t>FastAPI + Postgres 16 + JWT + Alembic-миграции конкретно. Promto = «PHP до Redis» расплывчато. На production-задачах он встанет, мы — нет.</t>
        </is>
      </c>
    </row>
  </sheetData>
  <mergeCells count="8">
    <mergeCell ref="A20:B20"/>
    <mergeCell ref="A21:B21"/>
    <mergeCell ref="C22:I22"/>
    <mergeCell ref="A19:I19"/>
    <mergeCell ref="C21:I21"/>
    <mergeCell ref="C20:I20"/>
    <mergeCell ref="A24:I24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5" customWidth="1" min="3" max="3"/>
    <col width="14" customWidth="1" min="4" max="4"/>
  </cols>
  <sheetData>
    <row r="1">
      <c r="A1" s="1" t="inlineStr">
        <is>
          <t>Omnia.AI — 5. Продукт — Фичи и Функции</t>
        </is>
      </c>
    </row>
    <row r="2">
      <c r="A2" s="2" t="inlineStr">
        <is>
          <t>Core (M1–M9) и Backlog (M9+)</t>
        </is>
      </c>
    </row>
    <row r="4">
      <c r="A4" s="15" t="inlineStr">
        <is>
          <t>Группа</t>
        </is>
      </c>
      <c r="B4" s="15" t="inlineStr">
        <is>
          <t>Фича</t>
        </is>
      </c>
      <c r="C4" s="15" t="inlineStr">
        <is>
          <t>Описание</t>
        </is>
      </c>
      <c r="D4" s="15" t="inlineStr">
        <is>
          <t>Когда (M=месяц)</t>
        </is>
      </c>
    </row>
    <row r="5" ht="38" customHeight="1">
      <c r="A5" s="16" t="inlineStr">
        <is>
          <t>Core</t>
        </is>
      </c>
      <c r="B5" s="16" t="inlineStr">
        <is>
          <t>★ Визуальная временная шкала проекта (главная фича)</t>
        </is>
      </c>
      <c r="C5" s="16" t="inlineStr">
        <is>
          <t>После КАЖДОГО промпта — автоматический snapshot: код + превью-скриншот. UI: лента версий справа от чата. Откат к любой версии в 1 клик, без git-терминологии. Делает AI-кодинг безопасным для не-разработчика.</t>
        </is>
      </c>
      <c r="D5" s="16" t="inlineStr">
        <is>
          <t>M1–M4</t>
        </is>
      </c>
    </row>
    <row r="6" ht="38" customHeight="1">
      <c r="A6" s="17" t="inlineStr">
        <is>
          <t>Core</t>
        </is>
      </c>
      <c r="B6" s="17" t="inlineStr">
        <is>
          <t>AI-чат генерации фронта</t>
        </is>
      </c>
      <c r="C6" s="17" t="inlineStr">
        <is>
          <t>Mix LLM (Claude/GPT/Yandex/Qwen) генерирует HTML/CSS/JS (опц. React) по промптам, live-preview</t>
        </is>
      </c>
      <c r="D6" s="17" t="inlineStr">
        <is>
          <t>M1–M3</t>
        </is>
      </c>
    </row>
    <row r="7" ht="38" customHeight="1">
      <c r="A7" s="16" t="inlineStr">
        <is>
          <t>Core</t>
        </is>
      </c>
      <c r="B7" s="16" t="inlineStr">
        <is>
          <t>Селектор LLM</t>
        </is>
      </c>
      <c r="C7" s="16" t="inlineStr">
        <is>
          <t>Пользователь выбирает модель: Haiku — быстро/дёшево, Sonnet — лучшее качество, Qwen self-hosted — почти бесплатно</t>
        </is>
      </c>
      <c r="D7" s="16" t="inlineStr">
        <is>
          <t>M2–M4</t>
        </is>
      </c>
    </row>
    <row r="8" ht="38" customHeight="1">
      <c r="A8" s="17" t="inlineStr">
        <is>
          <t>Core</t>
        </is>
      </c>
      <c r="B8" s="17" t="inlineStr">
        <is>
          <t>Стартовые шаблоны</t>
        </is>
      </c>
      <c r="C8" s="17" t="inlineStr">
        <is>
          <t>Лендинг, портфолио, магазин, блог, корп-сайт — 5–10 готовых</t>
        </is>
      </c>
      <c r="D8" s="17" t="inlineStr">
        <is>
          <t>M1–M3</t>
        </is>
      </c>
    </row>
    <row r="9" ht="38" customHeight="1">
      <c r="A9" s="16" t="inlineStr">
        <is>
          <t>Core</t>
        </is>
      </c>
      <c r="B9" s="16" t="inlineStr">
        <is>
          <t>Биллинг токенов</t>
        </is>
      </c>
      <c r="C9" s="16" t="inlineStr">
        <is>
          <t>Top-up через ЮKassa/Tinkoff, прозрачный счётчик, история списаний по моделям</t>
        </is>
      </c>
      <c r="D9" s="16" t="inlineStr">
        <is>
          <t>M2–M4</t>
        </is>
      </c>
    </row>
    <row r="10" ht="38" customHeight="1">
      <c r="A10" s="17" t="inlineStr">
        <is>
          <t>Core</t>
        </is>
      </c>
      <c r="B10" s="17" t="inlineStr">
        <is>
          <t>Личный кабинет</t>
        </is>
      </c>
      <c r="C10" s="17" t="inlineStr">
        <is>
          <t>Список проектов, версии, история промптов, скачивание исходников</t>
        </is>
      </c>
      <c r="D10" s="17" t="inlineStr">
        <is>
          <t>M2–M4</t>
        </is>
      </c>
    </row>
    <row r="11" ht="38" customHeight="1">
      <c r="A11" s="16" t="inlineStr">
        <is>
          <t>Core</t>
        </is>
      </c>
      <c r="B11" s="16" t="inlineStr">
        <is>
          <t>AI-агент автодеплоя</t>
        </is>
      </c>
      <c r="C11" s="16" t="inlineStr">
        <is>
          <t>Агент берёт код → разворачивает на сервере SafeCloud / CORTEL (Docker, Postgres, Nginx)</t>
        </is>
      </c>
      <c r="D11" s="16" t="inlineStr">
        <is>
          <t>M3–M6</t>
        </is>
      </c>
    </row>
    <row r="12" ht="38" customHeight="1">
      <c r="A12" s="17" t="inlineStr">
        <is>
          <t>Core</t>
        </is>
      </c>
      <c r="B12" s="17" t="inlineStr">
        <is>
          <t>Серверный пул SafeCloud / CORTEL S/M/L</t>
        </is>
      </c>
      <c r="C12" s="17" t="inlineStr">
        <is>
          <t>Преднастроенные VPS через SafeCloud / CORTEL, изоляция арендаторов, мониторинг</t>
        </is>
      </c>
      <c r="D12" s="17" t="inlineStr">
        <is>
          <t>M3–M6</t>
        </is>
      </c>
    </row>
    <row r="13" ht="38" customHeight="1">
      <c r="A13" s="16" t="inlineStr">
        <is>
          <t>Core</t>
        </is>
      </c>
      <c r="B13" s="16" t="inlineStr">
        <is>
          <t>Авто-настройка домена</t>
        </is>
      </c>
      <c r="C13" s="16" t="inlineStr">
        <is>
          <t>Регистрация .ru/.рф через API (Reg.ru/RU-Center), делегирование, автоматический SSL (Lets Encrypt)</t>
        </is>
      </c>
      <c r="D13" s="16" t="inlineStr">
        <is>
          <t>M5–M7</t>
        </is>
      </c>
    </row>
    <row r="14" ht="38" customHeight="1">
      <c r="A14" s="17" t="inlineStr">
        <is>
          <t>Core</t>
        </is>
      </c>
      <c r="B14" s="17" t="inlineStr">
        <is>
          <t>Базовый backend-кит</t>
        </is>
      </c>
      <c r="C14" s="17" t="inlineStr">
        <is>
          <t>Postgres + REST API + JWT-авторизация — генерируется как часть проекта</t>
        </is>
      </c>
      <c r="D14" s="17" t="inlineStr">
        <is>
          <t>M4–M7</t>
        </is>
      </c>
    </row>
    <row r="15" ht="38" customHeight="1">
      <c r="A15" s="16" t="inlineStr">
        <is>
          <t>Core</t>
        </is>
      </c>
      <c r="B15" s="16" t="inlineStr">
        <is>
          <t>Staging + одобрение опасных операций</t>
        </is>
      </c>
      <c r="C15" s="16" t="inlineStr">
        <is>
          <t>Перед миграцией БД / удалением — подтверждение пользователем</t>
        </is>
      </c>
      <c r="D15" s="16" t="inlineStr">
        <is>
          <t>M5–M8</t>
        </is>
      </c>
    </row>
    <row r="16" ht="38" customHeight="1">
      <c r="A16" s="17" t="inlineStr">
        <is>
          <t>Core (платформа)</t>
        </is>
      </c>
      <c r="B16" s="17" t="inlineStr">
        <is>
          <t>LLM-proxy gateway</t>
        </is>
      </c>
      <c r="C16" s="17" t="inlineStr">
        <is>
          <t>Клиент общается с НАМИ, не с Anthropic/OpenAI напрямую. У нас — кеш промптов, биллинг, метрики, контроль расходов. Vendor lock-in.</t>
        </is>
      </c>
      <c r="D16" s="17" t="inlineStr">
        <is>
          <t>M1–M4</t>
        </is>
      </c>
    </row>
    <row r="17" ht="38" customHeight="1">
      <c r="A17" s="16" t="inlineStr">
        <is>
          <t>Core (платформа)</t>
        </is>
      </c>
      <c r="B17" s="16" t="inlineStr">
        <is>
          <t>Git-storage снапшотов (наш S3/MinIO)</t>
        </is>
      </c>
      <c r="C17" s="16" t="inlineStr">
        <is>
          <t>Хранение версий проектов в нашем object-storage (MinIO в контуре). Не GitHub, не Vercel. Полный контроль над данными.</t>
        </is>
      </c>
      <c r="D17" s="16" t="inlineStr">
        <is>
          <t>M2–M5</t>
        </is>
      </c>
    </row>
    <row r="18" ht="38" customHeight="1">
      <c r="A18" s="17" t="inlineStr">
        <is>
          <t>Core (платформа)</t>
        </is>
      </c>
      <c r="B18" s="17" t="inlineStr">
        <is>
          <t>Preview-renderer (Playwright headless)</t>
        </is>
      </c>
      <c r="C18" s="17" t="inlineStr">
        <is>
          <t>Генерация скриншотов превью версий — наш сервис, не CodeSandbox/StackBlitz.</t>
        </is>
      </c>
      <c r="D18" s="17" t="inlineStr">
        <is>
          <t>M3–M5</t>
        </is>
      </c>
    </row>
    <row r="19" ht="38" customHeight="1">
      <c r="A19" s="16" t="inlineStr">
        <is>
          <t>Backlog</t>
        </is>
      </c>
      <c r="B19" s="16" t="inlineStr">
        <is>
          <t>Сравнение версий side-by-side</t>
        </is>
      </c>
      <c r="C19" s="16" t="inlineStr">
        <is>
          <t>Diff-просмотр двух версий: визуальный + код-diff</t>
        </is>
      </c>
      <c r="D19" s="16" t="inlineStr">
        <is>
          <t>M9–M12</t>
        </is>
      </c>
    </row>
    <row r="20" ht="38" customHeight="1">
      <c r="A20" s="17" t="inlineStr">
        <is>
          <t>Backlog</t>
        </is>
      </c>
      <c r="B20" s="17" t="inlineStr">
        <is>
          <t>Forking версии</t>
        </is>
      </c>
      <c r="C20" s="17" t="inlineStr">
        <is>
          <t>Откатиться к версии, но сохранить текущее состояние как параллельную ветку</t>
        </is>
      </c>
      <c r="D20" s="17" t="inlineStr">
        <is>
          <t>M10–M12</t>
        </is>
      </c>
    </row>
    <row r="21" ht="38" customHeight="1">
      <c r="A21" s="16" t="inlineStr">
        <is>
          <t>Backlog</t>
        </is>
      </c>
      <c r="B21" s="16" t="inlineStr">
        <is>
          <t>Marketplace шаблонов / community</t>
        </is>
      </c>
      <c r="C21" s="16" t="inlineStr">
        <is>
          <t>Сообщество публикует свои шаблоны, делит выручку</t>
        </is>
      </c>
      <c r="D21" s="16" t="inlineStr">
        <is>
          <t>M12+</t>
        </is>
      </c>
    </row>
    <row r="22" ht="38" customHeight="1">
      <c r="A22" s="17" t="inlineStr">
        <is>
          <t>Backlog</t>
        </is>
      </c>
      <c r="B22" s="17" t="inlineStr">
        <is>
          <t>Интеграции под ключ</t>
        </is>
      </c>
      <c r="C22" s="17" t="inlineStr">
        <is>
          <t>ЮKassa, Tinkoff, amoCRM, Bitrix24, email/SMS, Telegram-бот</t>
        </is>
      </c>
      <c r="D22" s="17" t="inlineStr">
        <is>
          <t>M9–M14</t>
        </is>
      </c>
    </row>
    <row r="23" ht="38" customHeight="1">
      <c r="A23" s="16" t="inlineStr">
        <is>
          <t>Backlog</t>
        </is>
      </c>
      <c r="B23" s="16" t="inlineStr">
        <is>
          <t>AI backend-логика</t>
        </is>
      </c>
      <c r="C23" s="16" t="inlineStr">
        <is>
          <t>Кастомные расчёты, бизнес-правила, личные кабинеты пользователей сайта</t>
        </is>
      </c>
      <c r="D23" s="16" t="inlineStr">
        <is>
          <t>M10–M15</t>
        </is>
      </c>
    </row>
    <row r="24" ht="38" customHeight="1">
      <c r="A24" s="17" t="inlineStr">
        <is>
          <t>Backlog</t>
        </is>
      </c>
      <c r="B24" s="17" t="inlineStr">
        <is>
          <t>White-label для агентств</t>
        </is>
      </c>
      <c r="C24" s="17" t="inlineStr">
        <is>
          <t>Под брендом агентства, тарифные планы для реселлеров</t>
        </is>
      </c>
      <c r="D24" s="17" t="inlineStr">
        <is>
          <t>M14–M18</t>
        </is>
      </c>
    </row>
    <row r="25" ht="38" customHeight="1">
      <c r="A25" s="16" t="inlineStr">
        <is>
          <t>Backlog</t>
        </is>
      </c>
      <c r="B25" s="16" t="inlineStr">
        <is>
          <t>Поиск по версиям естественным языком</t>
        </is>
      </c>
      <c r="C25" s="16" t="inlineStr">
        <is>
          <t>"Покажи когда я добавил блок с ценами" → AI находит нужный snapshot</t>
        </is>
      </c>
      <c r="D25" s="16" t="inlineStr">
        <is>
          <t>M14–M18</t>
        </is>
      </c>
    </row>
    <row r="26" ht="38" customHeight="1">
      <c r="A26" s="17" t="inlineStr">
        <is>
          <t>Backlog</t>
        </is>
      </c>
      <c r="B26" s="17" t="inlineStr">
        <is>
          <t>Опциональная синхронизация с GitHub</t>
        </is>
      </c>
      <c r="C26" s="17" t="inlineStr">
        <is>
          <t>Для продвинутых: подключить свой GitHub-репо, наша платформа автоматически pushит туда коммиты-снапшоты. Default остаётся НАШ git. Это backup для клиента + дверь для разработчиков (можно работать в Cursor локально). НЕ замена нашему хранилищу.</t>
        </is>
      </c>
      <c r="D26" s="17" t="inlineStr">
        <is>
          <t>M9–M12</t>
        </is>
      </c>
    </row>
    <row r="27" ht="38" customHeight="1">
      <c r="A27" s="16" t="inlineStr">
        <is>
          <t>Backlog</t>
        </is>
      </c>
      <c r="B27" s="16" t="inlineStr">
        <is>
          <t>Экспорт всего проекта (zip / docker)</t>
        </is>
      </c>
      <c r="C27" s="16" t="inlineStr">
        <is>
          <t>Пользователь может скачать свой проект архивом — никакой vendor lock-in по данным, только по удобству</t>
        </is>
      </c>
      <c r="D27" s="16" t="inlineStr">
        <is>
          <t>M9–M12</t>
        </is>
      </c>
    </row>
    <row r="28" ht="38" customHeight="1">
      <c r="A28" s="17" t="inlineStr">
        <is>
          <t>Backlog</t>
        </is>
      </c>
      <c r="B28" s="17" t="inlineStr">
        <is>
          <t>Мобильные приложения</t>
        </is>
      </c>
      <c r="C28" s="17" t="inlineStr">
        <is>
          <t>Тот же чат генерирует React Native / Flutter сборку</t>
        </is>
      </c>
      <c r="D28" s="17" t="inlineStr">
        <is>
          <t>M18+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Omnia.AI — 6. Бизнес-модель (canvas Остервальдера)</t>
        </is>
      </c>
    </row>
    <row r="2">
      <c r="A2" s="2" t="inlineStr">
        <is>
          <t>9 блоков канвы</t>
        </is>
      </c>
    </row>
    <row r="4">
      <c r="A4" s="22" t="inlineStr">
        <is>
          <t>Ключевые партнёры</t>
        </is>
      </c>
      <c r="B4" s="22" t="inlineStr">
        <is>
          <t>Ключевые активности</t>
        </is>
      </c>
      <c r="C4" s="22" t="inlineStr">
        <is>
          <t>Ценностные предложения</t>
        </is>
      </c>
      <c r="D4" s="22" t="inlineStr">
        <is>
          <t>Взаимоотношения с клиентами</t>
        </is>
      </c>
      <c r="E4" s="22" t="inlineStr">
        <is>
          <t>Сегменты потребителей</t>
        </is>
      </c>
    </row>
    <row r="5">
      <c r="A5" s="6" t="inlineStr">
        <is>
          <t>• SafeCloud / CORTEL — стратегический партнёр-провайдер VPS (наш исходный актив)</t>
        </is>
      </c>
      <c r="B5" s="6" t="inlineStr">
        <is>
          <t>• Разработка AI-агента (фронт-генерация, deploy, домены)</t>
        </is>
      </c>
      <c r="C5" s="6" t="inlineStr">
        <is>
          <t>• ★ Визуальная временная шкала: каждый промпт = снапшот, откат в 1 клик. AI-кодинг становится безопасным для не-разработчика.</t>
        </is>
      </c>
      <c r="D5" s="6" t="inlineStr">
        <is>
          <t>• Self-service портал и AI-чат как основной интерфейс</t>
        </is>
      </c>
      <c r="E5" s="6" t="inlineStr">
        <is>
          <t>• SMB РФ — салоны, кофейни, клиники, локальные ИМ</t>
        </is>
      </c>
    </row>
    <row r="6">
      <c r="A6" s="6" t="inlineStr">
        <is>
          <t>• LLM-провайдеры: Anthropic (Claude), OpenAI (GPT), Yandex (YandexGPT), Sber (GigaChat), Alibaba (Qwen self-hosted)</t>
        </is>
      </c>
      <c r="B6" s="6" t="inlineStr">
        <is>
          <t>• Эксплуатация и безопасность серверного пула на SafeCloud / CORTEL</t>
        </is>
      </c>
      <c r="C6" s="6" t="inlineStr">
        <is>
          <t>• Сайт + backend + деплой + домен за минуты, без агентства</t>
        </is>
      </c>
      <c r="D6" s="6" t="inlineStr">
        <is>
          <t>• Тикеты с SLA для Pro/Enterprise</t>
        </is>
      </c>
      <c r="E6" s="6" t="inlineStr">
        <is>
          <t>• Стартапы / фаундеры — MVP в обмен на скорость</t>
        </is>
      </c>
    </row>
    <row r="7">
      <c r="A7" s="6" t="inlineStr">
        <is>
          <t>• Регистраторы доменов с API: Reg.ru, RU-Center</t>
        </is>
      </c>
      <c r="B7" s="6" t="inlineStr">
        <is>
          <t>• Безопасность авто-деплоя (sandbox, права, аудит)</t>
        </is>
      </c>
      <c r="C7" s="6" t="inlineStr">
        <is>
          <t>• Подписка с токенами на дальнейшее развитие — продукт не "замораживается" после запуска</t>
        </is>
      </c>
      <c r="D7" s="6" t="inlineStr">
        <is>
          <t>• Telegram-сообщество и публичный roadmap</t>
        </is>
      </c>
      <c r="E7" s="6" t="inlineStr">
        <is>
          <t>• Фрилансеры и агентства (B2B2C)</t>
        </is>
      </c>
    </row>
    <row r="8">
      <c r="A8" s="6" t="inlineStr">
        <is>
          <t>• Платёжные шлюзы: ЮKassa, Tinkoff, CloudPayments</t>
        </is>
      </c>
      <c r="B8" s="6" t="inlineStr">
        <is>
          <t>• Маркетинг и контент</t>
        </is>
      </c>
      <c r="C8" s="6" t="inlineStr">
        <is>
          <t>• Mix LLM: пользователь сам выбирает модель и контролирует стоимость</t>
        </is>
      </c>
      <c r="D8" s="6" t="inlineStr">
        <is>
          <t>• Email-рассылка с обновлениями и кейсами</t>
        </is>
      </c>
      <c r="E8" s="6" t="inlineStr">
        <is>
          <t>• B2C физики — блогеры, эксперты, портфолио</t>
        </is>
      </c>
    </row>
    <row r="9">
      <c r="A9" s="6" t="inlineStr">
        <is>
          <t>• Агентства-реселлеры (B2B2C канал)</t>
        </is>
      </c>
      <c r="B9" s="6" t="inlineStr">
        <is>
          <t>• Продуктовая аналитика и итерации UX</t>
        </is>
      </c>
      <c r="C9" s="6" t="inlineStr">
        <is>
          <t>• Рублёвая оплата, российское юрлицо, поддержка на русском</t>
        </is>
      </c>
      <c r="D9" s="6" t="inlineStr">
        <is>
          <t>• Реферальная программа</t>
        </is>
      </c>
    </row>
    <row r="10">
      <c r="B10" s="6" t="inlineStr">
        <is>
          <t>• Поддержка пользователей (чат-бот + люди)</t>
        </is>
      </c>
      <c r="C10" s="6" t="inlineStr">
        <is>
          <t>• Серверы РФ через SafeCloud / CORTEL — данные и инфраструктура внутри страны</t>
        </is>
      </c>
    </row>
    <row r="11">
      <c r="B11" s="6" t="inlineStr">
        <is>
          <t>• Управление LLM-стеком: контракты, кеширование, мониторинг расходов</t>
        </is>
      </c>
      <c r="C11" s="6" t="inlineStr">
        <is>
          <t>• Всё на одной платформе: версии, деплой, домены, биллинг, поддержка — без перепрыгивания между сервисами</t>
        </is>
      </c>
    </row>
    <row r="12">
      <c r="C12" s="6" t="inlineStr">
        <is>
          <t>• Доступ к экспертам-инженерам через токены/часы Pro/Enterprise — гибрид self-service + agency</t>
        </is>
      </c>
    </row>
    <row r="14">
      <c r="B14" s="22" t="inlineStr">
        <is>
          <t>Ключевые ресурсы</t>
        </is>
      </c>
      <c r="D14" s="22" t="inlineStr">
        <is>
          <t>Каналы сбыта</t>
        </is>
      </c>
    </row>
    <row r="15">
      <c r="B15" s="6" t="inlineStr">
        <is>
          <t>• AI-стек: контракты на LLM API + локальный Qwen для fallback</t>
        </is>
      </c>
      <c r="D15" s="6" t="inlineStr">
        <is>
          <t>• Контент-маркетинг: YouTube, Telegram-канал, Habr, dev.to</t>
        </is>
      </c>
    </row>
    <row r="16">
      <c r="B16" s="6" t="inlineStr">
        <is>
          <t>• Серверный пул через SafeCloud / CORTEL (партнёр — наш исходный актив)</t>
        </is>
      </c>
      <c r="D16" s="6" t="inlineStr">
        <is>
          <t>• Performance: Я.Директ, VK Ads</t>
        </is>
      </c>
    </row>
    <row r="17">
      <c r="B17" s="6" t="inlineStr">
        <is>
          <t>• Команда AI/devops/product/design</t>
        </is>
      </c>
      <c r="D17" s="6" t="inlineStr">
        <is>
          <t>• Реферальная программа</t>
        </is>
      </c>
    </row>
    <row r="18">
      <c r="B18" s="6" t="inlineStr">
        <is>
          <t>• Библиотека шаблонов и кит backend-кирпичей</t>
        </is>
      </c>
      <c r="D18" s="6" t="inlineStr">
        <is>
          <t>• Партнёрки с агентствами (B2B2C)</t>
        </is>
      </c>
    </row>
    <row r="19">
      <c r="B19" s="6" t="inlineStr">
        <is>
          <t>• API партнёрств с регистраторами доменов</t>
        </is>
      </c>
      <c r="D19" s="6" t="inlineStr">
        <is>
          <t>• Лендинг и waitlist</t>
        </is>
      </c>
    </row>
    <row r="20">
      <c r="B20" s="6" t="inlineStr">
        <is>
          <t>• Юрлицо РФ + лицензии (если потребуются для определённых сегментов)</t>
        </is>
      </c>
      <c r="D20" s="6" t="inlineStr">
        <is>
          <t>• Бесплатный tier / щедрая пробная версия</t>
        </is>
      </c>
    </row>
    <row r="21">
      <c r="B21" s="6" t="inlineStr">
        <is>
          <t>• Бренд Omnia.AI и контентная база (YouTube/Telegram/Habr)</t>
        </is>
      </c>
    </row>
    <row r="23">
      <c r="A23" s="22" t="inlineStr">
        <is>
          <t>Структура издержек</t>
        </is>
      </c>
      <c r="D23" s="22" t="inlineStr">
        <is>
          <t>Потоки доходов</t>
        </is>
      </c>
    </row>
    <row r="24">
      <c r="A24" s="6" t="inlineStr">
        <is>
          <t>• LLM API (~30–40% выручки на старте)</t>
        </is>
      </c>
      <c r="D24" s="6" t="inlineStr">
        <is>
          <t>• Пакеты токенов (top-up, разово)</t>
        </is>
      </c>
    </row>
    <row r="25">
      <c r="A25" s="6" t="inlineStr">
        <is>
          <t>• Серверы (партнёрский тариф SafeCloud / CORTEL)</t>
        </is>
      </c>
      <c r="D25" s="6" t="inlineStr">
        <is>
          <t>• Подписка: сервер + ежемесячный кошелёк токенов (рекуррент)</t>
        </is>
      </c>
    </row>
    <row r="26">
      <c r="A26" s="6" t="inlineStr">
        <is>
          <t>• FOT команды</t>
        </is>
      </c>
      <c r="D26" s="6" t="inlineStr">
        <is>
          <t>• Кастом-разработка: часы инженеров поверх подписки</t>
        </is>
      </c>
    </row>
    <row r="27">
      <c r="A27" s="6" t="inlineStr">
        <is>
          <t>• Маркетинг и performance</t>
        </is>
      </c>
      <c r="D27" s="6" t="inlineStr">
        <is>
          <t>• Marketplace шаблонов (комиссия с продажи)</t>
        </is>
      </c>
    </row>
    <row r="28">
      <c r="A28" s="6" t="inlineStr">
        <is>
          <t>• Платёжные комиссии (1.5–3%)</t>
        </is>
      </c>
      <c r="D28" s="6" t="inlineStr">
        <is>
          <t>• White-label для агентств (% или фикс)</t>
        </is>
      </c>
    </row>
    <row r="29">
      <c r="A29" s="6" t="inlineStr">
        <is>
          <t>• Юр./бух./офис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8" t="inlineStr">
        <is>
          <t>Omnia.AI — 7. Юнит-экономика (v2, post-Promto: 5 тарифов)</t>
        </is>
      </c>
    </row>
    <row r="2">
      <c r="A2" s="67" t="inlineStr">
        <is>
          <t>Синие — input. Чёрные — формулы. Жёлтый фон — ключевые предположения. Зелёный — целевые ориентиры.</t>
        </is>
      </c>
    </row>
    <row r="4">
      <c r="A4" s="65" t="inlineStr">
        <is>
          <t>БЛОК 1. Глобальные параметры</t>
        </is>
      </c>
    </row>
    <row r="5">
      <c r="A5" t="inlineStr">
        <is>
          <t>Курс ₽/$</t>
        </is>
      </c>
      <c r="B5" s="68" t="n">
        <v>100</v>
      </c>
    </row>
    <row r="6">
      <c r="A6" t="inlineStr">
        <is>
          <t>Доля output в общей генерации (output_share)</t>
        </is>
      </c>
      <c r="B6" s="68" t="n">
        <v>0.5</v>
      </c>
    </row>
    <row r="7">
      <c r="A7" t="inlineStr">
        <is>
          <t>Наценка на токены (markup)</t>
        </is>
      </c>
      <c r="B7" s="68" t="n">
        <v>2.8</v>
      </c>
    </row>
    <row r="8">
      <c r="A8" t="inlineStr">
        <is>
          <t>Среднее потребление токенов клиентом, М/мес</t>
        </is>
      </c>
      <c r="B8" s="68" t="n">
        <v>4</v>
      </c>
    </row>
    <row r="9">
      <c r="A9" t="inlineStr">
        <is>
          <t>Срок жизни клиента, мес</t>
        </is>
      </c>
      <c r="B9" s="68" t="n">
        <v>12</v>
      </c>
    </row>
    <row r="10">
      <c r="A10" t="inlineStr">
        <is>
          <t>Фиксированный OPEX в месяц (FOT + маркетинг + офис), ₽</t>
        </is>
      </c>
      <c r="B10" s="68" t="n">
        <v>3500000</v>
      </c>
    </row>
    <row r="11">
      <c r="A11" t="inlineStr">
        <is>
          <t>CAC blended, ₽</t>
        </is>
      </c>
      <c r="B11" s="68" t="n">
        <v>3000</v>
      </c>
    </row>
    <row r="13">
      <c r="A13" s="65" t="inlineStr">
        <is>
          <t>БЛОК 2. Тарифные пакеты — adoption mix (зрелое, M15+)</t>
        </is>
      </c>
    </row>
    <row r="14">
      <c r="A14" s="69" t="inlineStr">
        <is>
          <t>Тариф</t>
        </is>
      </c>
      <c r="B14" s="69" t="inlineStr">
        <is>
          <t>Цена ₽/мес</t>
        </is>
      </c>
      <c r="C14" s="69" t="inlineStr">
        <is>
          <t>Доля платящих</t>
        </is>
      </c>
      <c r="D14" s="69" t="inlineStr">
        <is>
          <t>Кошелёк ₽</t>
        </is>
      </c>
      <c r="E14" s="69" t="inlineStr">
        <is>
          <t>VPS себест. ₽</t>
        </is>
      </c>
      <c r="F14" s="69" t="inlineStr">
        <is>
          <t>Себест. серв. + LLM, ₽</t>
        </is>
      </c>
      <c r="G14" s="69" t="inlineStr">
        <is>
          <t>Маржа на тарифе, %</t>
        </is>
      </c>
    </row>
    <row r="15">
      <c r="A15" s="61" t="inlineStr">
        <is>
          <t>Free (5 дней без карты)</t>
        </is>
      </c>
      <c r="B15" s="70" t="n">
        <v>0</v>
      </c>
      <c r="C15" s="61" t="n">
        <v>0</v>
      </c>
      <c r="D15" s="61" t="n">
        <v>500</v>
      </c>
      <c r="E15" s="61" t="n">
        <v>0</v>
      </c>
      <c r="F15" s="61" t="inlineStr">
        <is>
          <t>lead-magnet</t>
        </is>
      </c>
      <c r="G15" s="61" t="inlineStr">
        <is>
          <t>—</t>
        </is>
      </c>
    </row>
    <row r="16">
      <c r="A16" s="61" t="inlineStr">
        <is>
          <t>Lite</t>
        </is>
      </c>
      <c r="B16" s="70" t="n">
        <v>990</v>
      </c>
      <c r="C16" s="61" t="n">
        <v>0.5</v>
      </c>
      <c r="D16" s="61" t="n">
        <v>1000</v>
      </c>
      <c r="E16" s="61" t="n">
        <v>0</v>
      </c>
      <c r="F16" s="61" t="n">
        <v>600</v>
      </c>
      <c r="G16" s="61" t="inlineStr">
        <is>
          <t>39%</t>
        </is>
      </c>
    </row>
    <row r="17">
      <c r="A17" s="61" t="inlineStr">
        <is>
          <t>Starter</t>
        </is>
      </c>
      <c r="B17" s="70" t="n">
        <v>2990</v>
      </c>
      <c r="C17" s="61" t="n">
        <v>0.25</v>
      </c>
      <c r="D17" s="61" t="n">
        <v>2500</v>
      </c>
      <c r="E17" s="61" t="n">
        <v>600</v>
      </c>
      <c r="F17" s="61" t="n">
        <v>1500</v>
      </c>
      <c r="G17" s="61" t="inlineStr">
        <is>
          <t>50%</t>
        </is>
      </c>
    </row>
    <row r="18">
      <c r="A18" s="61" t="inlineStr">
        <is>
          <t>Pro</t>
        </is>
      </c>
      <c r="B18" s="70" t="n">
        <v>7990</v>
      </c>
      <c r="C18" s="61" t="n">
        <v>0.18</v>
      </c>
      <c r="D18" s="61" t="n">
        <v>6000</v>
      </c>
      <c r="E18" s="61" t="n">
        <v>3000</v>
      </c>
      <c r="F18" s="61" t="n">
        <v>5500</v>
      </c>
      <c r="G18" s="61" t="inlineStr">
        <is>
          <t>31%</t>
        </is>
      </c>
    </row>
    <row r="19">
      <c r="A19" s="61" t="inlineStr">
        <is>
          <t>Enterprise</t>
        </is>
      </c>
      <c r="B19" s="70" t="n">
        <v>19990</v>
      </c>
      <c r="C19" s="61" t="n">
        <v>0.07000000000000001</v>
      </c>
      <c r="D19" s="61" t="n">
        <v>18000</v>
      </c>
      <c r="E19" s="61" t="n">
        <v>8000</v>
      </c>
      <c r="F19" s="61" t="n">
        <v>14000</v>
      </c>
      <c r="G19" s="61" t="inlineStr">
        <is>
          <t>30%</t>
        </is>
      </c>
    </row>
    <row r="21">
      <c r="A21" s="59" t="inlineStr">
        <is>
          <t>Средневзв. ARPU платящих, ₽/мес</t>
        </is>
      </c>
      <c r="B21" s="71">
        <f>B16*C16+B17*C17+B18*C18+B19*C19</f>
        <v/>
      </c>
    </row>
    <row r="24">
      <c r="A24" s="65" t="inlineStr">
        <is>
          <t>БЛОК 3. Воронка (зрелое, M15+)</t>
        </is>
      </c>
    </row>
    <row r="25">
      <c r="A25" t="inlineStr">
        <is>
          <t>Visits на лендинг (мес)</t>
        </is>
      </c>
      <c r="B25" s="68" t="n">
        <v>50000</v>
      </c>
    </row>
    <row r="26">
      <c r="A26" t="inlineStr">
        <is>
          <t>Conversion → Free signup</t>
        </is>
      </c>
      <c r="B26" s="68" t="n">
        <v>0.08</v>
      </c>
    </row>
    <row r="27">
      <c r="A27" t="inlineStr">
        <is>
          <t>Free signups (мес)</t>
        </is>
      </c>
      <c r="B27" s="72">
        <f>B25*B26</f>
        <v/>
      </c>
    </row>
    <row r="28">
      <c r="A28" t="inlineStr">
        <is>
          <t>Conversion Free → Paid</t>
        </is>
      </c>
      <c r="B28" s="68" t="n">
        <v>0.12</v>
      </c>
    </row>
    <row r="29">
      <c r="A29" t="inlineStr">
        <is>
          <t>Paid customers (мес, новых)</t>
        </is>
      </c>
      <c r="B29" s="72">
        <f>B27*B28</f>
        <v/>
      </c>
    </row>
    <row r="30">
      <c r="A30" t="inlineStr">
        <is>
          <t>Retention M6</t>
        </is>
      </c>
      <c r="B30" s="68" t="n">
        <v>0.6</v>
      </c>
    </row>
    <row r="31">
      <c r="A31" t="inlineStr">
        <is>
          <t>CAC blended, ₽</t>
        </is>
      </c>
      <c r="B31" s="68" t="n">
        <v>3000</v>
      </c>
    </row>
    <row r="33">
      <c r="A33" s="65" t="inlineStr">
        <is>
          <t>БЛОК 4. Юнит-экономика — здоровье</t>
        </is>
      </c>
    </row>
    <row r="34">
      <c r="A34" s="59" t="inlineStr">
        <is>
          <t>ARPU средневзв., ₽/мес</t>
        </is>
      </c>
      <c r="B34" s="73">
        <f>B21</f>
        <v/>
      </c>
    </row>
    <row r="35">
      <c r="A35" s="59" t="inlineStr">
        <is>
          <t>Gross margin, %</t>
        </is>
      </c>
      <c r="B35" s="73" t="n">
        <v>0.62</v>
      </c>
    </row>
    <row r="36">
      <c r="A36" s="59" t="inlineStr">
        <is>
          <t>LTV (12 мес × ARPU × margin), ₽</t>
        </is>
      </c>
      <c r="B36" s="74">
        <f>B21*12*B35</f>
        <v/>
      </c>
    </row>
    <row r="37">
      <c r="A37" s="59" t="inlineStr">
        <is>
          <t>LTV / CAC</t>
        </is>
      </c>
      <c r="B37" s="73">
        <f>B36/B7</f>
        <v/>
      </c>
    </row>
    <row r="38">
      <c r="A38" s="59" t="inlineStr">
        <is>
          <t>Точка безубыточности, платящих клиентов</t>
        </is>
      </c>
      <c r="B38" s="74">
        <f>B6/B21</f>
        <v/>
      </c>
    </row>
    <row r="39">
      <c r="A39" s="59" t="inlineStr">
        <is>
          <t>Точка безубыточности, MRR ₽/мес</t>
        </is>
      </c>
      <c r="B39" s="73">
        <f>B6</f>
        <v/>
      </c>
    </row>
    <row r="40">
      <c r="A40" s="59" t="inlineStr">
        <is>
          <t>Целевой объём платящих к M18</t>
        </is>
      </c>
      <c r="B40" s="73" t="n">
        <v>1500</v>
      </c>
    </row>
    <row r="41">
      <c r="A41" s="59" t="inlineStr">
        <is>
          <t>Целевой MRR к M18, ₽</t>
        </is>
      </c>
      <c r="B41" s="74">
        <f>B40*B21</f>
        <v/>
      </c>
    </row>
    <row r="43">
      <c r="A43" s="65" t="inlineStr">
        <is>
          <t>БЛОК 5. Целевые ориентиры (для проверки)</t>
        </is>
      </c>
    </row>
    <row r="44">
      <c r="A44" s="61" t="inlineStr">
        <is>
          <t>• LTV/CAC ≥ 3.0 — здоровая SaaS-юнит-эконмика</t>
        </is>
      </c>
    </row>
    <row r="45">
      <c r="A45" s="61" t="inlineStr">
        <is>
          <t>• Gross margin ≥ 60% — норма для SaaS</t>
        </is>
      </c>
    </row>
    <row r="46">
      <c r="A46" s="61" t="inlineStr">
        <is>
          <t>• Точка безубыточности ≤ 1000 платящих — реально к M14-15</t>
        </is>
      </c>
    </row>
    <row r="47">
      <c r="A47" s="61" t="inlineStr">
        <is>
          <t>• Доля LLM в COGS ≤ 30% выручки — иначе агрессивный кеш + Qwen self-hosted</t>
        </is>
      </c>
    </row>
    <row r="48">
      <c r="A48" s="61" t="inlineStr">
        <is>
          <t>• Free → Paid conversion ≥ 10% (зрелая воронка)</t>
        </is>
      </c>
    </row>
    <row r="49">
      <c r="A49" s="61" t="inlineStr">
        <is>
          <t>• ARPU 4 000+ ₽ к M15+ за счёт upsell на Pro/Enterprise</t>
        </is>
      </c>
    </row>
    <row r="50">
      <c r="A50" s="61" t="inlineStr">
        <is>
          <t>• Net Dollar Retention ≥ 110% к M18</t>
        </is>
      </c>
    </row>
  </sheetData>
  <mergeCells count="4">
    <mergeCell ref="A13:G13"/>
    <mergeCell ref="A33:G33"/>
    <mergeCell ref="A26:G26"/>
    <mergeCell ref="A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35" customWidth="1" min="4" max="4"/>
  </cols>
  <sheetData>
    <row r="1">
      <c r="A1" s="1" t="inlineStr">
        <is>
          <t>Omnia.AI — 8. План запуска — Этапы (M1–M18)</t>
        </is>
      </c>
    </row>
    <row r="2">
      <c r="A2" s="2" t="inlineStr">
        <is>
          <t>Месяцы от старта команды (M0)</t>
        </is>
      </c>
    </row>
    <row r="4">
      <c r="A4" s="15" t="inlineStr">
        <is>
          <t>Этап</t>
        </is>
      </c>
      <c r="B4" s="15" t="inlineStr">
        <is>
          <t>Сроки</t>
        </is>
      </c>
      <c r="C4" s="15" t="inlineStr">
        <is>
          <t>Веха / DoD</t>
        </is>
      </c>
      <c r="D4" s="15" t="inlineStr">
        <is>
          <t>Зависимости</t>
        </is>
      </c>
    </row>
    <row r="5" ht="36" customHeight="1">
      <c r="A5" s="16" t="inlineStr">
        <is>
          <t>Команда core (4 чел.) собрана</t>
        </is>
      </c>
      <c r="B5" s="16" t="inlineStr">
        <is>
          <t>M0</t>
        </is>
      </c>
      <c r="C5" s="16" t="inlineStr">
        <is>
          <t>старт работ</t>
        </is>
      </c>
      <c r="D5" s="16" t="inlineStr">
        <is>
          <t>—</t>
        </is>
      </c>
    </row>
    <row r="6" ht="36" customHeight="1">
      <c r="A6" s="17" t="inlineStr">
        <is>
          <t>Прототип AI-чата (фронт-генерация на mix LLM)</t>
        </is>
      </c>
      <c r="B6" s="17" t="inlineStr">
        <is>
          <t>M1–M3</t>
        </is>
      </c>
      <c r="C6" s="17" t="inlineStr">
        <is>
          <t>demo: лендинг сгенерирован за 5 мин на любой из 3+ моделей</t>
        </is>
      </c>
      <c r="D6" s="17" t="inlineStr">
        <is>
          <t>выбраны LLM-провайдеры, договоры</t>
        </is>
      </c>
    </row>
    <row r="7" ht="36" customHeight="1">
      <c r="A7" s="16" t="inlineStr">
        <is>
          <t>★ Визуальная временная шкала проекта (главная фича)</t>
        </is>
      </c>
      <c r="B7" s="16" t="inlineStr">
        <is>
          <t>M1–M4</t>
        </is>
      </c>
      <c r="C7" s="16" t="inlineStr">
        <is>
          <t>snapshot после каждого промпта + UI-лента с превью + откат за 1 клик</t>
        </is>
      </c>
      <c r="D7" s="16" t="inlineStr">
        <is>
          <t>AI-чат работает, MinIO/S3 для хранения</t>
        </is>
      </c>
    </row>
    <row r="8" ht="36" customHeight="1">
      <c r="A8" s="17" t="inlineStr">
        <is>
          <t>LLM-proxy gateway (наш API над провайдерами)</t>
        </is>
      </c>
      <c r="B8" s="17" t="inlineStr">
        <is>
          <t>M1–M3</t>
        </is>
      </c>
      <c r="C8" s="17" t="inlineStr">
        <is>
          <t>все запросы через нас: кеш, биллинг, метрики, контроль</t>
        </is>
      </c>
      <c r="D8" s="17" t="inlineStr">
        <is>
          <t>договоры с LLM-провайдерами</t>
        </is>
      </c>
    </row>
    <row r="9" ht="36" customHeight="1">
      <c r="A9" s="16" t="inlineStr">
        <is>
          <t>Биллинг токенов + ЛК + селектор модели</t>
        </is>
      </c>
      <c r="B9" s="16" t="inlineStr">
        <is>
          <t>M2–M4</t>
        </is>
      </c>
      <c r="C9" s="16" t="inlineStr">
        <is>
          <t>работает оплата ЮKassa, разделение списаний по моделям</t>
        </is>
      </c>
      <c r="D9" s="16" t="inlineStr">
        <is>
          <t>юрлицо открыто</t>
        </is>
      </c>
    </row>
    <row r="10" ht="36" customHeight="1">
      <c r="A10" s="17" t="inlineStr">
        <is>
          <t>AI-агент автодеплоя (1 шаблон сервера SafeCloud / CORTEL)</t>
        </is>
      </c>
      <c r="B10" s="17" t="inlineStr">
        <is>
          <t>M3–M6</t>
        </is>
      </c>
      <c r="C10" s="17" t="inlineStr">
        <is>
          <t>первый автодеплой проекта на VPS SafeCloud / CORTEL</t>
        </is>
      </c>
      <c r="D10" s="17" t="inlineStr">
        <is>
          <t>договор с SafeCloud / CORTEL</t>
        </is>
      </c>
    </row>
    <row r="11" ht="36" customHeight="1">
      <c r="A11" s="16" t="inlineStr">
        <is>
          <t>Backend-кит (Postgres + REST + JWT)</t>
        </is>
      </c>
      <c r="B11" s="16" t="inlineStr">
        <is>
          <t>M4–M7</t>
        </is>
      </c>
      <c r="C11" s="16" t="inlineStr">
        <is>
          <t>AI поднимает базовый backend в проект</t>
        </is>
      </c>
      <c r="D11" s="16" t="inlineStr">
        <is>
          <t>auto-deploy готов</t>
        </is>
      </c>
    </row>
    <row r="12" ht="36" customHeight="1">
      <c r="A12" s="17" t="inlineStr">
        <is>
          <t>Домен/SSL автоматизация</t>
        </is>
      </c>
      <c r="B12" s="17" t="inlineStr">
        <is>
          <t>M5–M7</t>
        </is>
      </c>
      <c r="C12" s="17" t="inlineStr">
        <is>
          <t>клиент → проект → live на своём домене за 1 клик</t>
        </is>
      </c>
      <c r="D12" s="17" t="inlineStr">
        <is>
          <t>API регистратора подключен</t>
        </is>
      </c>
    </row>
    <row r="13" ht="36" customHeight="1">
      <c r="A13" s="16" t="inlineStr">
        <is>
          <t>Закрытая бета (50–100 пользователей)</t>
        </is>
      </c>
      <c r="B13" s="16" t="inlineStr">
        <is>
          <t>M7–M10</t>
        </is>
      </c>
      <c r="C13" s="16" t="inlineStr">
        <is>
          <t>первые отзывы, NPS, баги выявлены</t>
        </is>
      </c>
      <c r="D13" s="16" t="inlineStr">
        <is>
          <t>core-функционал стабилен</t>
        </is>
      </c>
    </row>
    <row r="14" ht="36" customHeight="1">
      <c r="A14" s="17" t="inlineStr">
        <is>
          <t>Public soft launch</t>
        </is>
      </c>
      <c r="B14" s="17" t="inlineStr">
        <is>
          <t>M10–M12</t>
        </is>
      </c>
      <c r="C14" s="17" t="inlineStr">
        <is>
          <t>публичный запуск, первая выручка</t>
        </is>
      </c>
      <c r="D14" s="17" t="inlineStr">
        <is>
          <t>бета прошла</t>
        </is>
      </c>
    </row>
    <row r="15" ht="36" customHeight="1">
      <c r="A15" s="16" t="inlineStr">
        <is>
          <t>GitHub-синк + экспорт проекта</t>
        </is>
      </c>
      <c r="B15" s="16" t="inlineStr">
        <is>
          <t>M9–M12</t>
        </is>
      </c>
      <c r="C15" s="16" t="inlineStr">
        <is>
          <t>Опционально для продвинутых: подключить свой GitHub, экспорт в zip/docker</t>
        </is>
      </c>
      <c r="D15" s="16" t="inlineStr">
        <is>
          <t>версионирование стабильно</t>
        </is>
      </c>
    </row>
    <row r="16" ht="36" customHeight="1">
      <c r="A16" s="17" t="inlineStr">
        <is>
          <t>Marketplace + интеграции</t>
        </is>
      </c>
      <c r="B16" s="17" t="inlineStr">
        <is>
          <t>M12–M15</t>
        </is>
      </c>
      <c r="C16" s="17" t="inlineStr">
        <is>
          <t>ЮKassa, amoCRM, маркетплейс шаблонов</t>
        </is>
      </c>
      <c r="D16" s="17" t="inlineStr">
        <is>
          <t>public launch</t>
        </is>
      </c>
    </row>
    <row r="17" ht="36" customHeight="1">
      <c r="A17" s="16" t="inlineStr">
        <is>
          <t>Партнёрская программа агентств (B2B2C)</t>
        </is>
      </c>
      <c r="B17" s="16" t="inlineStr">
        <is>
          <t>M14–M18</t>
        </is>
      </c>
      <c r="C17" s="16" t="inlineStr">
        <is>
          <t>White-label, реселлеры, % схема</t>
        </is>
      </c>
      <c r="D17" s="16" t="inlineStr">
        <is>
          <t>product-market fit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8" customWidth="1" min="4" max="4"/>
    <col width="12" customWidth="1" min="5" max="5"/>
    <col width="24" customWidth="1" min="6" max="6"/>
  </cols>
  <sheetData>
    <row r="1">
      <c r="A1" s="1" t="inlineStr">
        <is>
          <t>Omnia.AI — 9. Команда</t>
        </is>
      </c>
    </row>
    <row r="2">
      <c r="A2" s="2" t="inlineStr">
        <is>
          <t>Кого нанимаем, когда и сколько стоит. Колонка ИТОГО считается формулой.</t>
        </is>
      </c>
    </row>
    <row r="4">
      <c r="A4" s="15" t="inlineStr">
        <is>
          <t>Роль</t>
        </is>
      </c>
      <c r="B4" s="15" t="inlineStr">
        <is>
          <t>Кол-во</t>
        </is>
      </c>
      <c r="C4" s="15" t="inlineStr">
        <is>
          <t>FOT мин, ₽/мес</t>
        </is>
      </c>
      <c r="D4" s="15" t="inlineStr">
        <is>
          <t>FOT макс, ₽/мес</t>
        </is>
      </c>
      <c r="E4" s="15" t="inlineStr">
        <is>
          <t>Когда (M)</t>
        </is>
      </c>
      <c r="F4" s="15" t="inlineStr">
        <is>
          <t>Среднее × кол-во, ₽/мес</t>
        </is>
      </c>
    </row>
    <row r="5">
      <c r="A5" s="16" t="inlineStr">
        <is>
          <t>Co-founder (бизнес/маркетинг) — Артём Левченко</t>
        </is>
      </c>
      <c r="B5" s="16" t="n">
        <v>1</v>
      </c>
      <c r="C5" s="42" t="n">
        <v>0</v>
      </c>
      <c r="D5" s="42" t="n">
        <v>0</v>
      </c>
      <c r="E5" s="16" t="inlineStr">
        <is>
          <t>M0</t>
        </is>
      </c>
      <c r="F5" s="16" t="inlineStr">
        <is>
          <t>доля</t>
        </is>
      </c>
    </row>
    <row r="6">
      <c r="A6" s="16" t="inlineStr">
        <is>
          <t>Co-founder (тех/AI) — Рома Исакин</t>
        </is>
      </c>
      <c r="B6" s="16" t="n">
        <v>1</v>
      </c>
      <c r="C6" s="42" t="n">
        <v>0</v>
      </c>
      <c r="D6" s="42" t="n">
        <v>0</v>
      </c>
      <c r="E6" s="16" t="inlineStr">
        <is>
          <t>M0</t>
        </is>
      </c>
      <c r="F6" s="16" t="inlineStr">
        <is>
          <t>доля</t>
        </is>
      </c>
    </row>
    <row r="7">
      <c r="A7" s="16" t="inlineStr">
        <is>
          <t>AI-инженер (prompt + агенты)</t>
        </is>
      </c>
      <c r="B7" s="16" t="n">
        <v>2</v>
      </c>
      <c r="C7" s="42" t="n">
        <v>350000</v>
      </c>
      <c r="D7" s="42" t="n">
        <v>500000</v>
      </c>
      <c r="E7" s="16" t="inlineStr">
        <is>
          <t>M0</t>
        </is>
      </c>
      <c r="F7" s="43">
        <f>B7*(C7+D7)/2</f>
        <v/>
      </c>
    </row>
    <row r="8">
      <c r="A8" s="16" t="inlineStr">
        <is>
          <t>Frontend-инженер</t>
        </is>
      </c>
      <c r="B8" s="16" t="n">
        <v>1</v>
      </c>
      <c r="C8" s="42" t="n">
        <v>250000</v>
      </c>
      <c r="D8" s="42" t="n">
        <v>350000</v>
      </c>
      <c r="E8" s="16" t="inlineStr">
        <is>
          <t>M1</t>
        </is>
      </c>
      <c r="F8" s="43">
        <f>B8*(C8+D8)/2</f>
        <v/>
      </c>
    </row>
    <row r="9">
      <c r="A9" s="16" t="inlineStr">
        <is>
          <t>Backend / DevOps (auto-deploy)</t>
        </is>
      </c>
      <c r="B9" s="16" t="n">
        <v>2</v>
      </c>
      <c r="C9" s="42" t="n">
        <v>300000</v>
      </c>
      <c r="D9" s="42" t="n">
        <v>450000</v>
      </c>
      <c r="E9" s="16" t="inlineStr">
        <is>
          <t>M1</t>
        </is>
      </c>
      <c r="F9" s="43">
        <f>B9*(C9+D9)/2</f>
        <v/>
      </c>
    </row>
    <row r="10">
      <c r="A10" s="16" t="inlineStr">
        <is>
          <t>UI/UX дизайнер (шаблоны)</t>
        </is>
      </c>
      <c r="B10" s="16" t="n">
        <v>1</v>
      </c>
      <c r="C10" s="42" t="n">
        <v>200000</v>
      </c>
      <c r="D10" s="42" t="n">
        <v>300000</v>
      </c>
      <c r="E10" s="16" t="inlineStr">
        <is>
          <t>M2</t>
        </is>
      </c>
      <c r="F10" s="43">
        <f>B10*(C10+D10)/2</f>
        <v/>
      </c>
    </row>
    <row r="11">
      <c r="A11" s="16" t="inlineStr">
        <is>
          <t>Marketing / growth</t>
        </is>
      </c>
      <c r="B11" s="16" t="n">
        <v>1</v>
      </c>
      <c r="C11" s="42" t="n">
        <v>200000</v>
      </c>
      <c r="D11" s="42" t="n">
        <v>350000</v>
      </c>
      <c r="E11" s="16" t="inlineStr">
        <is>
          <t>M3</t>
        </is>
      </c>
      <c r="F11" s="43">
        <f>B11*(C11+D11)/2</f>
        <v/>
      </c>
    </row>
    <row r="12">
      <c r="A12" s="16" t="inlineStr">
        <is>
          <t>QA / Sec engineer</t>
        </is>
      </c>
      <c r="B12" s="16" t="n">
        <v>1</v>
      </c>
      <c r="C12" s="42" t="n">
        <v>200000</v>
      </c>
      <c r="D12" s="42" t="n">
        <v>300000</v>
      </c>
      <c r="E12" s="16" t="inlineStr">
        <is>
          <t>M5</t>
        </is>
      </c>
      <c r="F12" s="43">
        <f>B12*(C12+D12)/2</f>
        <v/>
      </c>
    </row>
    <row r="13">
      <c r="A13" s="16" t="inlineStr">
        <is>
          <t>Customer success</t>
        </is>
      </c>
      <c r="B13" s="16" t="n">
        <v>1</v>
      </c>
      <c r="C13" s="42" t="n">
        <v>150000</v>
      </c>
      <c r="D13" s="42" t="n">
        <v>250000</v>
      </c>
      <c r="E13" s="16" t="inlineStr">
        <is>
          <t>M7</t>
        </is>
      </c>
      <c r="F13" s="43">
        <f>B13*(C13+D13)/2</f>
        <v/>
      </c>
    </row>
    <row r="14">
      <c r="A14" s="16" t="inlineStr">
        <is>
          <t>Sales (B2B2C партнёрки)</t>
        </is>
      </c>
      <c r="B14" s="16" t="n">
        <v>1</v>
      </c>
      <c r="C14" s="42" t="n">
        <v>200000</v>
      </c>
      <c r="D14" s="42" t="n">
        <v>400000</v>
      </c>
      <c r="E14" s="16" t="inlineStr">
        <is>
          <t>M10</t>
        </is>
      </c>
      <c r="F14" s="43">
        <f>B14*(C14+D14)/2</f>
        <v/>
      </c>
    </row>
    <row r="15">
      <c r="A15" s="44" t="inlineStr">
        <is>
          <t>ИТОГО FOT при полной команде, ₽/мес (без founders)</t>
        </is>
      </c>
      <c r="B15" s="45" t="n"/>
      <c r="C15" s="45" t="n"/>
      <c r="D15" s="45" t="n"/>
      <c r="E15" s="45" t="n"/>
      <c r="F15" s="46">
        <f>SUM(F7:F14)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60" customWidth="1" min="4" max="4"/>
    <col width="22" customWidth="1" min="5" max="5"/>
  </cols>
  <sheetData>
    <row r="1">
      <c r="A1" s="1" t="inlineStr">
        <is>
          <t>Omnia.AI — 10. Риски и митигация</t>
        </is>
      </c>
    </row>
    <row r="2">
      <c r="A2" s="20" t="inlineStr">
        <is>
          <t>НОВЫЙ лист. Top-N рисков, оценка вероятности и импакта, что делаем.</t>
        </is>
      </c>
    </row>
    <row r="4">
      <c r="A4" s="15" t="inlineStr">
        <is>
          <t>Риск</t>
        </is>
      </c>
      <c r="B4" s="15" t="inlineStr">
        <is>
          <t>Вероятность</t>
        </is>
      </c>
      <c r="C4" s="15" t="inlineStr">
        <is>
          <t>Импакт</t>
        </is>
      </c>
      <c r="D4" s="15" t="inlineStr">
        <is>
          <t>Митигация</t>
        </is>
      </c>
      <c r="E4" s="15" t="inlineStr">
        <is>
          <t>Кто следит</t>
        </is>
      </c>
    </row>
    <row r="5" ht="50" customHeight="1">
      <c r="A5" s="16" t="inlineStr">
        <is>
          <t>Lovable/v0/Bolt запускают РФ-ориентированную версию</t>
        </is>
      </c>
      <c r="B5" s="16" t="inlineStr">
        <is>
          <t>Средняя</t>
        </is>
      </c>
      <c r="C5" s="16" t="inlineStr">
        <is>
          <t>Критичный</t>
        </is>
      </c>
      <c r="D5" s="16" t="inlineStr">
        <is>
          <t>Фокус на end-to-end + рубли + поддержку. Локальный moat: серверы, домены, юр.документы. Скорость выхода важнее идеального продукта.</t>
        </is>
      </c>
      <c r="E5" s="16" t="inlineStr">
        <is>
          <t>Артём Левченко</t>
        </is>
      </c>
    </row>
    <row r="6" ht="50" customHeight="1">
      <c r="A6" s="17" t="inlineStr">
        <is>
          <t>Стоимость LLM API съедает маржу</t>
        </is>
      </c>
      <c r="B6" s="17" t="inlineStr">
        <is>
          <t>Высокая</t>
        </is>
      </c>
      <c r="C6" s="17" t="inlineStr">
        <is>
          <t>Высокий</t>
        </is>
      </c>
      <c r="D6" s="17" t="inlineStr">
        <is>
          <t>Кеширование промптов, mix LLM (Haiku/mini для типовых, Qwen self-hosted для шаблонов), наценка ≥ 2.8x, мониторинг доли LLM в COGS.</t>
        </is>
      </c>
      <c r="E6" s="17" t="inlineStr">
        <is>
          <t>Рома Исакин</t>
        </is>
      </c>
    </row>
    <row r="7" ht="50" customHeight="1">
      <c r="A7" s="16" t="inlineStr">
        <is>
          <t>Безопасность auto-deploy — атаки или деструктивные действия AI</t>
        </is>
      </c>
      <c r="B7" s="16" t="inlineStr">
        <is>
          <t>Средняя</t>
        </is>
      </c>
      <c r="C7" s="16" t="inlineStr">
        <is>
          <t>Критичный</t>
        </is>
      </c>
      <c r="D7" s="16" t="inlineStr">
        <is>
          <t>Sandbox, ограниченные роли, аудит-лог, человеческое подтверждение деструктивных операций (DROP, миграции, удаление файлов), изоляция арендаторов.</t>
        </is>
      </c>
      <c r="E7" s="16" t="inlineStr">
        <is>
          <t>Рома Исакин</t>
        </is>
      </c>
    </row>
    <row r="8" ht="50" customHeight="1">
      <c r="A8" s="17" t="inlineStr">
        <is>
          <t>LLM-провайдеры закрывают доступ из РФ</t>
        </is>
      </c>
      <c r="B8" s="17" t="inlineStr">
        <is>
          <t>Средняя</t>
        </is>
      </c>
      <c r="C8" s="17" t="inlineStr">
        <is>
          <t>Высокий</t>
        </is>
      </c>
      <c r="D8" s="17" t="inlineStr">
        <is>
          <t>Mix-стратегия: YandexGPT/GigaChat как fallback, Qwen self-hosted как полный backup. Architecture-agnostic слой над провайдерами.</t>
        </is>
      </c>
      <c r="E8" s="17" t="inlineStr">
        <is>
          <t>Рома Исакин</t>
        </is>
      </c>
    </row>
    <row r="9" ht="50" customHeight="1">
      <c r="A9" s="16" t="inlineStr">
        <is>
          <t>Качество AI-генерации недостаточное для продакшна</t>
        </is>
      </c>
      <c r="B9" s="16" t="inlineStr">
        <is>
          <t>Высокая</t>
        </is>
      </c>
      <c r="C9" s="16" t="inlineStr">
        <is>
          <t>Средний</t>
        </is>
      </c>
      <c r="D9" s="16" t="inlineStr">
        <is>
          <t>Review-этапы, шаблоны как опора, гибрид с командой инженеров на сложные кейсы. Continuous prompt eval.</t>
        </is>
      </c>
      <c r="E9" s="16" t="inlineStr">
        <is>
          <t>Рома Исакин</t>
        </is>
      </c>
    </row>
    <row r="10" ht="50" customHeight="1">
      <c r="A10" s="17" t="inlineStr">
        <is>
          <t>Уход хостинг-партнёра SafeCloud / CORTEL / резкий рост цен</t>
        </is>
      </c>
      <c r="B10" s="17" t="inlineStr">
        <is>
          <t>Низкая</t>
        </is>
      </c>
      <c r="C10" s="17" t="inlineStr">
        <is>
          <t>Средний</t>
        </is>
      </c>
      <c r="D10" s="17" t="inlineStr">
        <is>
          <t>Контракт с SafeCloud / CORTEL с фиксацией цен на 12 мес. Второй провайдер в резерве (готовая Ansible-миграция).</t>
        </is>
      </c>
      <c r="E10" s="17" t="inlineStr">
        <is>
          <t>Рома Исакин</t>
        </is>
      </c>
    </row>
    <row r="11" ht="50" customHeight="1">
      <c r="A11" s="16" t="inlineStr">
        <is>
          <t>Регулирование: 152-ФЗ, "О приземлении", обязательные лицензии</t>
        </is>
      </c>
      <c r="B11" s="16" t="inlineStr">
        <is>
          <t>Низкая</t>
        </is>
      </c>
      <c r="C11" s="16" t="inlineStr">
        <is>
          <t>Средний</t>
        </is>
      </c>
      <c r="D11" s="16" t="inlineStr">
        <is>
          <t>РФ-хостинг по умолчанию, шаблоны ОРД для пользователей, явная политика данных, юр.консультация.</t>
        </is>
      </c>
      <c r="E11" s="16" t="inlineStr">
        <is>
          <t>Артём Левченко</t>
        </is>
      </c>
    </row>
    <row r="12" ht="50" customHeight="1">
      <c r="A12" s="17" t="inlineStr">
        <is>
          <t>Сложность найма AI-инженеров в РФ</t>
        </is>
      </c>
      <c r="B12" s="17" t="inlineStr">
        <is>
          <t>Средняя</t>
        </is>
      </c>
      <c r="C12" s="17" t="inlineStr">
        <is>
          <t>Средний</t>
        </is>
      </c>
      <c r="D12" s="17" t="inlineStr">
        <is>
          <t>Опционы / доли founders, удалённый формат, прицельная охота через выпускников ШАД/MFTI/Сколтех.</t>
        </is>
      </c>
      <c r="E12" s="17" t="inlineStr">
        <is>
          <t>Артём Левченко</t>
        </is>
      </c>
    </row>
    <row r="13" ht="50" customHeight="1">
      <c r="A13" s="16" t="inlineStr">
        <is>
          <t>Слабый product-market fit — низкая конверсия беты в платящих</t>
        </is>
      </c>
      <c r="B13" s="16" t="inlineStr">
        <is>
          <t>Средняя</t>
        </is>
      </c>
      <c r="C13" s="16" t="inlineStr">
        <is>
          <t>Высокий</t>
        </is>
      </c>
      <c r="D13" s="16" t="inlineStr">
        <is>
          <t>Жёсткая воронка валидации в бете. Кастдев → 50 интервью до публичного запуска. Готовность развернуться в нишу.</t>
        </is>
      </c>
      <c r="E13" s="16" t="inlineStr">
        <is>
          <t>Артём Левченко + Рома Исакин</t>
        </is>
      </c>
    </row>
    <row r="14" ht="50" customHeight="1">
      <c r="A14" s="17" t="inlineStr">
        <is>
          <t>Кассовый разрыв до достижения break-even</t>
        </is>
      </c>
      <c r="B14" s="17" t="inlineStr">
        <is>
          <t>Средняя</t>
        </is>
      </c>
      <c r="C14" s="17" t="inlineStr">
        <is>
          <t>Критичный</t>
        </is>
      </c>
      <c r="D14" s="17" t="inlineStr">
        <is>
          <t>Запас наличности на 6 мес OPEX. Поэтапный найм строго по MRR. Учредители без оклада до первой выручки.</t>
        </is>
      </c>
      <c r="E14" s="17" t="inlineStr">
        <is>
          <t>Артём Левченко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8" t="inlineStr">
        <is>
          <t>Omnia.AI — 11. Тарифные пакеты (v2, post-Promto: 5 уровней)</t>
        </is>
      </c>
    </row>
    <row r="2">
      <c r="A2" s="75" t="inlineStr">
        <is>
          <t>Цели: entry-tier ниже Promto (990 ₽ vs 690 ₽), но с mix LLM. Free как acquisition-engine. Pro/Ent с реальным backend для production.</t>
        </is>
      </c>
    </row>
    <row r="4">
      <c r="A4" s="76" t="inlineStr">
        <is>
          <t>Что входит</t>
        </is>
      </c>
      <c r="B4" s="76" t="inlineStr">
        <is>
          <t>Free</t>
        </is>
      </c>
      <c r="C4" s="76" t="inlineStr">
        <is>
          <t>Lite</t>
        </is>
      </c>
      <c r="D4" s="76" t="inlineStr">
        <is>
          <t>Starter</t>
        </is>
      </c>
      <c r="E4" s="77" t="inlineStr">
        <is>
          <t>Pro</t>
        </is>
      </c>
      <c r="F4" s="76" t="inlineStr">
        <is>
          <t>Enterprise</t>
        </is>
      </c>
    </row>
    <row r="5" ht="36" customHeight="1">
      <c r="A5" s="60" t="inlineStr">
        <is>
          <t>Цена ₽/мес</t>
        </is>
      </c>
      <c r="B5" s="60" t="inlineStr">
        <is>
          <t>0</t>
        </is>
      </c>
      <c r="C5" s="60" t="inlineStr">
        <is>
          <t>990</t>
        </is>
      </c>
      <c r="D5" s="60" t="inlineStr">
        <is>
          <t>2 990</t>
        </is>
      </c>
      <c r="E5" s="78" t="inlineStr">
        <is>
          <t>7 990</t>
        </is>
      </c>
      <c r="F5" s="60" t="inlineStr">
        <is>
          <t>19 990</t>
        </is>
      </c>
    </row>
    <row r="6" ht="30" customHeight="1">
      <c r="A6" s="60" t="inlineStr">
        <is>
          <t>Эквивалент Promto</t>
        </is>
      </c>
      <c r="B6" s="60" t="inlineStr">
        <is>
          <t>—</t>
        </is>
      </c>
      <c r="C6" s="60" t="inlineStr">
        <is>
          <t>Старт (690 ₽)</t>
        </is>
      </c>
      <c r="D6" s="60" t="inlineStr">
        <is>
          <t>Про (2 790 ₽)</t>
        </is>
      </c>
      <c r="E6" s="78" t="inlineStr">
        <is>
          <t>Про Макс (6 890 ₽)</t>
        </is>
      </c>
      <c r="F6" s="60" t="inlineStr">
        <is>
          <t>—</t>
        </is>
      </c>
    </row>
    <row r="7" ht="30" customHeight="1">
      <c r="A7" s="60" t="inlineStr">
        <is>
          <t>Срок</t>
        </is>
      </c>
      <c r="B7" s="60" t="inlineStr">
        <is>
          <t>5 дней без карты</t>
        </is>
      </c>
      <c r="C7" s="60" t="inlineStr">
        <is>
          <t>месяц</t>
        </is>
      </c>
      <c r="D7" s="60" t="inlineStr">
        <is>
          <t>месяц</t>
        </is>
      </c>
      <c r="E7" s="78" t="inlineStr">
        <is>
          <t>месяц</t>
        </is>
      </c>
      <c r="F7" s="60" t="inlineStr">
        <is>
          <t>месяц или год -10%</t>
        </is>
      </c>
    </row>
    <row r="8" ht="30" customHeight="1">
      <c r="A8" s="60" t="inlineStr">
        <is>
          <t>Кол-во проектов</t>
        </is>
      </c>
      <c r="B8" s="60" t="inlineStr">
        <is>
          <t>1</t>
        </is>
      </c>
      <c r="C8" s="60" t="inlineStr">
        <is>
          <t>1</t>
        </is>
      </c>
      <c r="D8" s="60" t="inlineStr">
        <is>
          <t>до 3</t>
        </is>
      </c>
      <c r="E8" s="78" t="inlineStr">
        <is>
          <t>до 10</t>
        </is>
      </c>
      <c r="F8" s="60" t="inlineStr">
        <is>
          <t>безлимит</t>
        </is>
      </c>
    </row>
    <row r="9" ht="30" customHeight="1">
      <c r="A9" s="60" t="inlineStr">
        <is>
          <t>Кошелёк AI-токенов, ₽/мес</t>
        </is>
      </c>
      <c r="B9" s="60" t="inlineStr">
        <is>
          <t>500 (одноразово)</t>
        </is>
      </c>
      <c r="C9" s="60" t="inlineStr">
        <is>
          <t>1 000</t>
        </is>
      </c>
      <c r="D9" s="60" t="inlineStr">
        <is>
          <t>2 500</t>
        </is>
      </c>
      <c r="E9" s="78" t="inlineStr">
        <is>
          <t>6 000</t>
        </is>
      </c>
      <c r="F9" s="60" t="inlineStr">
        <is>
          <t>18 000</t>
        </is>
      </c>
    </row>
    <row r="10" ht="30" customHeight="1">
      <c r="A10" s="60" t="inlineStr">
        <is>
          <t>Хостинг</t>
        </is>
      </c>
      <c r="B10" s="60" t="inlineStr">
        <is>
          <t>Поддомен omnia.ai/...</t>
        </is>
      </c>
      <c r="C10" s="60" t="inlineStr">
        <is>
          <t>Поддомен или один домен</t>
        </is>
      </c>
      <c r="D10" s="60" t="inlineStr">
        <is>
          <t>Кастом-домен .ru/.рф</t>
        </is>
      </c>
      <c r="E10" s="78" t="inlineStr">
        <is>
          <t>Выделенный VPS S</t>
        </is>
      </c>
      <c r="F10" s="60" t="inlineStr">
        <is>
          <t>Выделенный VPS M</t>
        </is>
      </c>
    </row>
    <row r="11" ht="30" customHeight="1">
      <c r="A11" s="60" t="inlineStr">
        <is>
          <t>SSL</t>
        </is>
      </c>
      <c r="B11" s="60" t="inlineStr">
        <is>
          <t>Let's Encrypt</t>
        </is>
      </c>
      <c r="C11" s="60" t="inlineStr">
        <is>
          <t>Let's Encrypt</t>
        </is>
      </c>
      <c r="D11" s="60" t="inlineStr">
        <is>
          <t>Let's Encrypt</t>
        </is>
      </c>
      <c r="E11" s="78" t="inlineStr">
        <is>
          <t>Let's Encrypt + DV</t>
        </is>
      </c>
      <c r="F11" s="60" t="inlineStr">
        <is>
          <t>OV/EV по запросу</t>
        </is>
      </c>
    </row>
    <row r="12" ht="30" customHeight="1">
      <c r="A12" s="60" t="inlineStr">
        <is>
          <t>Кастом-домен</t>
        </is>
      </c>
      <c r="B12" s="60" t="inlineStr">
        <is>
          <t>—</t>
        </is>
      </c>
      <c r="C12" s="60" t="inlineStr">
        <is>
          <t>1 включён</t>
        </is>
      </c>
      <c r="D12" s="60" t="inlineStr">
        <is>
          <t>1 включён</t>
        </is>
      </c>
      <c r="E12" s="78" t="inlineStr">
        <is>
          <t>до 2 доменов</t>
        </is>
      </c>
      <c r="F12" s="60" t="inlineStr">
        <is>
          <t>до 5 доменов</t>
        </is>
      </c>
    </row>
    <row r="13" ht="30" customHeight="1">
      <c r="A13" s="60" t="inlineStr">
        <is>
          <t>Backend (БД + API)</t>
        </is>
      </c>
      <c r="B13" s="60" t="inlineStr">
        <is>
          <t>—</t>
        </is>
      </c>
      <c r="C13" s="60" t="inlineStr">
        <is>
          <t>—</t>
        </is>
      </c>
      <c r="D13" s="60" t="inlineStr">
        <is>
          <t>Postgres + REST + JWT</t>
        </is>
      </c>
      <c r="E13" s="78" t="inlineStr">
        <is>
          <t>+ Redis + S3</t>
        </is>
      </c>
      <c r="F13" s="60" t="inlineStr">
        <is>
          <t>+ кастом + DR-реплика</t>
        </is>
      </c>
    </row>
    <row r="14" ht="30" customHeight="1">
      <c r="A14" s="60" t="inlineStr">
        <is>
          <t>Версии и rollback</t>
        </is>
      </c>
      <c r="B14" s="60" t="inlineStr">
        <is>
          <t>5 снапшотов</t>
        </is>
      </c>
      <c r="C14" s="60" t="inlineStr">
        <is>
          <t>20 снапшотов</t>
        </is>
      </c>
      <c r="D14" s="60" t="inlineStr">
        <is>
          <t>100 снапшотов</t>
        </is>
      </c>
      <c r="E14" s="78" t="inlineStr">
        <is>
          <t>500 + side-by-side</t>
        </is>
      </c>
      <c r="F14" s="60" t="inlineStr">
        <is>
          <t>безлимит</t>
        </is>
      </c>
    </row>
    <row r="15" ht="30" customHeight="1">
      <c r="A15" s="60" t="inlineStr">
        <is>
          <t>Mix LLM</t>
        </is>
      </c>
      <c r="B15" s="60" t="inlineStr">
        <is>
          <t>Haiku + DeepSeek</t>
        </is>
      </c>
      <c r="C15" s="60" t="inlineStr">
        <is>
          <t>+ Gemini Flash</t>
        </is>
      </c>
      <c r="D15" s="60" t="inlineStr">
        <is>
          <t>+ Sonnet + GPT-4</t>
        </is>
      </c>
      <c r="E15" s="78" t="inlineStr">
        <is>
          <t>Все + кеш промптов</t>
        </is>
      </c>
      <c r="F15" s="60" t="inlineStr">
        <is>
          <t>Все + приоритет очереди</t>
        </is>
      </c>
    </row>
    <row r="16" ht="30" customHeight="1">
      <c r="A16" s="60" t="inlineStr">
        <is>
          <t>Российские LLM (Yandex/GigaChat)</t>
        </is>
      </c>
      <c r="B16" s="60" t="inlineStr">
        <is>
          <t>—</t>
        </is>
      </c>
      <c r="C16" s="60" t="inlineStr">
        <is>
          <t>—</t>
        </is>
      </c>
      <c r="D16" s="60" t="inlineStr">
        <is>
          <t>да</t>
        </is>
      </c>
      <c r="E16" s="78" t="inlineStr">
        <is>
          <t>да</t>
        </is>
      </c>
      <c r="F16" s="64" t="inlineStr">
        <is>
          <t>★ default (152-ФЗ)</t>
        </is>
      </c>
    </row>
    <row r="17" ht="30" customHeight="1">
      <c r="A17" s="60" t="inlineStr">
        <is>
          <t>Чат-боты (TG/VK)</t>
        </is>
      </c>
      <c r="B17" s="60" t="inlineStr">
        <is>
          <t>—</t>
        </is>
      </c>
      <c r="C17" s="60" t="inlineStr">
        <is>
          <t>—</t>
        </is>
      </c>
      <c r="D17" s="60" t="inlineStr">
        <is>
          <t>—</t>
        </is>
      </c>
      <c r="E17" s="64" t="inlineStr">
        <is>
          <t>★ да</t>
        </is>
      </c>
      <c r="F17" s="64" t="inlineStr">
        <is>
          <t>★ да + кастом</t>
        </is>
      </c>
    </row>
    <row r="18" ht="30" customHeight="1">
      <c r="A18" s="60" t="inlineStr">
        <is>
          <t>Бизнес-автоматизации</t>
        </is>
      </c>
      <c r="B18" s="60" t="inlineStr">
        <is>
          <t>—</t>
        </is>
      </c>
      <c r="C18" s="60" t="inlineStr">
        <is>
          <t>—</t>
        </is>
      </c>
      <c r="D18" s="60" t="inlineStr">
        <is>
          <t>—</t>
        </is>
      </c>
      <c r="E18" s="64" t="inlineStr">
        <is>
          <t>★ да (n8n-style)</t>
        </is>
      </c>
      <c r="F18" s="64" t="inlineStr">
        <is>
          <t>★ да + кастом-сценарии</t>
        </is>
      </c>
    </row>
    <row r="19" ht="30" customHeight="1">
      <c r="A19" s="60" t="inlineStr">
        <is>
          <t>1С-интеграция</t>
        </is>
      </c>
      <c r="B19" s="60" t="inlineStr">
        <is>
          <t>—</t>
        </is>
      </c>
      <c r="C19" s="60" t="inlineStr">
        <is>
          <t>—</t>
        </is>
      </c>
      <c r="D19" s="60" t="inlineStr">
        <is>
          <t>—</t>
        </is>
      </c>
      <c r="E19" s="78" t="inlineStr">
        <is>
          <t>—</t>
        </is>
      </c>
      <c r="F19" s="64" t="inlineStr">
        <is>
          <t>★ ДА</t>
        </is>
      </c>
    </row>
    <row r="20" ht="30" customHeight="1">
      <c r="A20" s="60" t="inlineStr">
        <is>
          <t>GitHub-синк (опц.)</t>
        </is>
      </c>
      <c r="B20" s="60" t="inlineStr">
        <is>
          <t>—</t>
        </is>
      </c>
      <c r="C20" s="60" t="inlineStr">
        <is>
          <t>—</t>
        </is>
      </c>
      <c r="D20" s="60" t="inlineStr">
        <is>
          <t>—</t>
        </is>
      </c>
      <c r="E20" s="64" t="inlineStr">
        <is>
          <t>★ да</t>
        </is>
      </c>
      <c r="F20" s="64" t="inlineStr">
        <is>
          <t>★ да</t>
        </is>
      </c>
    </row>
    <row r="21" ht="30" customHeight="1">
      <c r="A21" s="60" t="inlineStr">
        <is>
          <t>Self-export (ZIP/Docker)</t>
        </is>
      </c>
      <c r="B21" s="60" t="inlineStr">
        <is>
          <t>—</t>
        </is>
      </c>
      <c r="C21" s="60" t="inlineStr">
        <is>
          <t>ZIP</t>
        </is>
      </c>
      <c r="D21" s="60" t="inlineStr">
        <is>
          <t>ZIP</t>
        </is>
      </c>
      <c r="E21" s="78" t="inlineStr">
        <is>
          <t>ZIP + Docker</t>
        </is>
      </c>
      <c r="F21" s="60" t="inlineStr">
        <is>
          <t>ZIP + Docker</t>
        </is>
      </c>
    </row>
    <row r="22" ht="30" customHeight="1">
      <c r="A22" s="60" t="inlineStr">
        <is>
          <t>Резервное копирование</t>
        </is>
      </c>
      <c r="B22" s="60" t="inlineStr">
        <is>
          <t>—</t>
        </is>
      </c>
      <c r="C22" s="60" t="inlineStr">
        <is>
          <t>—</t>
        </is>
      </c>
      <c r="D22" s="60" t="inlineStr">
        <is>
          <t>1×/сут, 7 дней</t>
        </is>
      </c>
      <c r="E22" s="78" t="inlineStr">
        <is>
          <t>1×/сут, 30 дней</t>
        </is>
      </c>
      <c r="F22" s="60" t="inlineStr">
        <is>
          <t>почасовое, 90 дней + офсайт</t>
        </is>
      </c>
    </row>
    <row r="23" ht="30" customHeight="1">
      <c r="A23" s="60" t="inlineStr">
        <is>
          <t>Поддержка</t>
        </is>
      </c>
      <c r="B23" s="60" t="inlineStr">
        <is>
          <t>—</t>
        </is>
      </c>
      <c r="C23" s="60" t="inlineStr">
        <is>
          <t>Чат-бот</t>
        </is>
      </c>
      <c r="D23" s="60" t="inlineStr">
        <is>
          <t>Email SLA 48ч</t>
        </is>
      </c>
      <c r="E23" s="78" t="inlineStr">
        <is>
          <t>Email SLA 24ч</t>
        </is>
      </c>
      <c r="F23" s="60" t="inlineStr">
        <is>
          <t>Менеджер + SLA 4ч</t>
        </is>
      </c>
    </row>
    <row r="24" ht="30" customHeight="1">
      <c r="A24" s="60" t="inlineStr">
        <is>
          <t>Часы инженеров (поверх подписки)</t>
        </is>
      </c>
      <c r="B24" s="60" t="inlineStr">
        <is>
          <t>—</t>
        </is>
      </c>
      <c r="C24" s="60" t="inlineStr">
        <is>
          <t>—</t>
        </is>
      </c>
      <c r="D24" s="60" t="inlineStr">
        <is>
          <t>5 000 ₽/час</t>
        </is>
      </c>
      <c r="E24" s="78" t="inlineStr">
        <is>
          <t>4 500 ₽/час</t>
        </is>
      </c>
      <c r="F24" s="60" t="inlineStr">
        <is>
          <t>4 000 ₽/час</t>
        </is>
      </c>
    </row>
    <row r="25" ht="30" customHeight="1">
      <c r="A25" s="60" t="inlineStr">
        <is>
          <t>SLA доступности</t>
        </is>
      </c>
      <c r="B25" s="60" t="inlineStr">
        <is>
          <t>—</t>
        </is>
      </c>
      <c r="C25" s="60" t="inlineStr">
        <is>
          <t>—</t>
        </is>
      </c>
      <c r="D25" s="60" t="inlineStr">
        <is>
          <t>99.5%</t>
        </is>
      </c>
      <c r="E25" s="78" t="inlineStr">
        <is>
          <t>99.9%</t>
        </is>
      </c>
      <c r="F25" s="60" t="inlineStr">
        <is>
          <t>99.95% с фин.гарантиями</t>
        </is>
      </c>
    </row>
    <row r="26" ht="30" customHeight="1"/>
    <row r="27" ht="30" customHeight="1"/>
    <row r="28" ht="30" customHeight="1">
      <c r="A28" s="65" t="inlineStr">
        <is>
          <t>ЛОГИКА ТАРИФОВ vs Promto</t>
        </is>
      </c>
    </row>
    <row r="30">
      <c r="A30" s="59" t="inlineStr">
        <is>
          <t>Free</t>
        </is>
      </c>
      <c r="B30" s="66" t="inlineStr">
        <is>
          <t>Lead-magnet. Без карты. Цель — конверсия 10-12% во Lite в течение 30 дней.</t>
        </is>
      </c>
    </row>
    <row r="31">
      <c r="A31" s="59" t="inlineStr">
        <is>
          <t>Lite (990 ₽)</t>
        </is>
      </c>
      <c r="B31" s="66" t="inlineStr">
        <is>
          <t>Бьёт Promto Старт (690 ₽) ценой +43%, но даёт mix LLM (DeepSeek+Haiku+Gemini), кастом-домен, версионирование.</t>
        </is>
      </c>
    </row>
    <row r="32">
      <c r="A32" s="59" t="inlineStr">
        <is>
          <t>Starter (2 990 ₽)</t>
        </is>
      </c>
      <c r="B32" s="66" t="inlineStr">
        <is>
          <t>Паритет с Promto Про (2 790 ₽). Преимущество: реальный backend (Postgres/JWT), РФ-LLM.</t>
        </is>
      </c>
    </row>
    <row r="33">
      <c r="A33" s="59" t="inlineStr">
        <is>
          <t>Pro (7 990 ₽)</t>
        </is>
      </c>
      <c r="B33" s="66" t="inlineStr">
        <is>
          <t>Бьёт Promto Про Макс (6 890 ₽) ценой +16%, но даёт выделенный VPS, чат-боты, GitHub-синк, SLA.</t>
        </is>
      </c>
    </row>
    <row r="34">
      <c r="A34" s="59" t="inlineStr">
        <is>
          <t>Enterprise (19 990 ₽)</t>
        </is>
      </c>
      <c r="B34" s="66" t="inlineStr">
        <is>
          <t>Promto не имеет такого тира. Наш — 152-ФЗ + 1С + менеджер. Закрываем enterprise-сегмент полностью.</t>
        </is>
      </c>
    </row>
  </sheetData>
  <mergeCells count="1">
    <mergeCell ref="A31:D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4" customWidth="1" min="3" max="3"/>
    <col width="11" customWidth="1" min="4" max="4"/>
    <col width="11" customWidth="1" min="5" max="5"/>
    <col width="17" customWidth="1" min="6" max="6"/>
    <col width="11" customWidth="1" min="7" max="7"/>
  </cols>
  <sheetData>
    <row r="1">
      <c r="A1" s="1" t="inlineStr">
        <is>
          <t>Omnia.AI — 12. Задачи (Kanban)</t>
        </is>
      </c>
    </row>
    <row r="2">
      <c r="A2" s="2" t="inlineStr">
        <is>
          <t>Ответственные: Артём Левченко (бизнес/маркетинг/юр) и Рома Исакин (тех/AI/ops). Распределение можно поправить по согласованию.</t>
        </is>
      </c>
    </row>
    <row r="4">
      <c r="A4" s="15" t="inlineStr">
        <is>
          <t>Ответственный</t>
        </is>
      </c>
      <c r="B4" s="15" t="inlineStr">
        <is>
          <t>Задача</t>
        </is>
      </c>
      <c r="C4" s="15" t="inlineStr">
        <is>
          <t>Сроки</t>
        </is>
      </c>
      <c r="D4" s="15" t="inlineStr">
        <is>
          <t>Backlog</t>
        </is>
      </c>
      <c r="E4" s="15" t="inlineStr">
        <is>
          <t>WIP</t>
        </is>
      </c>
      <c r="F4" s="15" t="inlineStr">
        <is>
          <t>На согласовании</t>
        </is>
      </c>
      <c r="G4" s="15" t="inlineStr">
        <is>
          <t>Готово</t>
        </is>
      </c>
    </row>
    <row r="5" ht="32" customHeight="1">
      <c r="A5" s="16" t="inlineStr">
        <is>
          <t>Артём Левченко</t>
        </is>
      </c>
      <c r="B5" s="16" t="inlineStr">
        <is>
          <t>Зарегистрировать юрлицо и расчётный счёт</t>
        </is>
      </c>
      <c r="C5" s="16" t="inlineStr">
        <is>
          <t>M0</t>
        </is>
      </c>
      <c r="D5" s="16" t="inlineStr">
        <is>
          <t>✓</t>
        </is>
      </c>
      <c r="E5" s="16" t="inlineStr"/>
      <c r="F5" s="16" t="inlineStr"/>
      <c r="G5" s="16" t="inlineStr"/>
    </row>
    <row r="6" ht="32" customHeight="1">
      <c r="A6" s="17" t="inlineStr">
        <is>
          <t>Артём Левченко</t>
        </is>
      </c>
      <c r="B6" s="17" t="inlineStr">
        <is>
          <t>Договор с хостинг-партнёром SafeCloud / CORTEL (партнёрский тариф, SLA, фикс цены)</t>
        </is>
      </c>
      <c r="C6" s="17" t="inlineStr">
        <is>
          <t>M0–M1</t>
        </is>
      </c>
      <c r="D6" s="17" t="inlineStr">
        <is>
          <t>✓</t>
        </is>
      </c>
      <c r="E6" s="17" t="inlineStr"/>
      <c r="F6" s="17" t="inlineStr"/>
      <c r="G6" s="17" t="inlineStr"/>
    </row>
    <row r="7" ht="32" customHeight="1">
      <c r="A7" s="16" t="inlineStr">
        <is>
          <t>Артём Левченко + Рома Исакин</t>
        </is>
      </c>
      <c r="B7" s="16" t="inlineStr">
        <is>
          <t>Выбрать LLM-стек: Claude / GPT / Yandex / Qwen — заключить контракты</t>
        </is>
      </c>
      <c r="C7" s="16" t="inlineStr">
        <is>
          <t>M0–M1</t>
        </is>
      </c>
      <c r="D7" s="16" t="inlineStr">
        <is>
          <t>✓</t>
        </is>
      </c>
      <c r="E7" s="16" t="inlineStr"/>
      <c r="F7" s="16" t="inlineStr"/>
      <c r="G7" s="16" t="inlineStr"/>
    </row>
    <row r="8" ht="32" customHeight="1">
      <c r="A8" s="17" t="inlineStr">
        <is>
          <t>Артём Левченко + Рома Исакин</t>
        </is>
      </c>
      <c r="B8" s="17" t="inlineStr">
        <is>
          <t>Тех.задание на MVP: AI-чат + 3 шаблона + селектор модели</t>
        </is>
      </c>
      <c r="C8" s="17" t="inlineStr">
        <is>
          <t>M0–M1</t>
        </is>
      </c>
      <c r="D8" s="17" t="inlineStr">
        <is>
          <t>✓</t>
        </is>
      </c>
      <c r="E8" s="17" t="inlineStr"/>
      <c r="F8" s="17" t="inlineStr"/>
      <c r="G8" s="17" t="inlineStr"/>
    </row>
    <row r="9" ht="32" customHeight="1">
      <c r="A9" s="16" t="inlineStr">
        <is>
          <t>Рома Исакин</t>
        </is>
      </c>
      <c r="B9" s="16" t="inlineStr">
        <is>
          <t>Прототип AI-чата с генерацией фронта и mix LLM</t>
        </is>
      </c>
      <c r="C9" s="16" t="inlineStr">
        <is>
          <t>M1–M3</t>
        </is>
      </c>
      <c r="D9" s="16" t="inlineStr">
        <is>
          <t>✓</t>
        </is>
      </c>
      <c r="E9" s="16" t="inlineStr"/>
      <c r="F9" s="16" t="inlineStr"/>
      <c r="G9" s="16" t="inlineStr"/>
    </row>
    <row r="10" ht="32" customHeight="1">
      <c r="A10" s="17" t="inlineStr">
        <is>
          <t>Рома Исакин</t>
        </is>
      </c>
      <c r="B10" s="17" t="inlineStr">
        <is>
          <t>★ Визуальная временная шкала: git-снапшоты после каждого промпта + Playwright preview-screenshots + UI-лента версий с откатом в 1 клик</t>
        </is>
      </c>
      <c r="C10" s="17" t="inlineStr">
        <is>
          <t>M1–M4</t>
        </is>
      </c>
      <c r="D10" s="17" t="inlineStr">
        <is>
          <t>✓</t>
        </is>
      </c>
      <c r="E10" s="17" t="inlineStr"/>
      <c r="F10" s="17" t="inlineStr"/>
      <c r="G10" s="17" t="inlineStr"/>
    </row>
    <row r="11" ht="32" customHeight="1">
      <c r="A11" s="16" t="inlineStr">
        <is>
          <t>Рома Исакин</t>
        </is>
      </c>
      <c r="B11" s="16" t="inlineStr">
        <is>
          <t>LLM-proxy gateway: все запросы клиента через нашу прослойку (биллинг, кеш, метрики)</t>
        </is>
      </c>
      <c r="C11" s="16" t="inlineStr">
        <is>
          <t>M1–M3</t>
        </is>
      </c>
      <c r="D11" s="16" t="inlineStr">
        <is>
          <t>✓</t>
        </is>
      </c>
      <c r="E11" s="16" t="inlineStr"/>
      <c r="F11" s="16" t="inlineStr"/>
      <c r="G11" s="16" t="inlineStr"/>
    </row>
    <row r="12" ht="32" customHeight="1">
      <c r="A12" s="17" t="inlineStr">
        <is>
          <t>Рома Исакин</t>
        </is>
      </c>
      <c r="B12" s="17" t="inlineStr">
        <is>
          <t>MinIO / S3 в нашем контуре для хранения снапшотов и артефактов проектов</t>
        </is>
      </c>
      <c r="C12" s="17" t="inlineStr">
        <is>
          <t>M2–M4</t>
        </is>
      </c>
      <c r="D12" s="17" t="inlineStr">
        <is>
          <t>✓</t>
        </is>
      </c>
      <c r="E12" s="17" t="inlineStr"/>
      <c r="F12" s="17" t="inlineStr"/>
      <c r="G12" s="17" t="inlineStr"/>
    </row>
    <row r="13" ht="32" customHeight="1">
      <c r="A13" s="16" t="inlineStr">
        <is>
          <t>Рома Исакин</t>
        </is>
      </c>
      <c r="B13" s="16" t="inlineStr">
        <is>
          <t>Биллинг токенов через ЮKassa, разделение списаний по моделям</t>
        </is>
      </c>
      <c r="C13" s="16" t="inlineStr">
        <is>
          <t>M2–M4</t>
        </is>
      </c>
      <c r="D13" s="16" t="inlineStr">
        <is>
          <t>✓</t>
        </is>
      </c>
      <c r="E13" s="16" t="inlineStr"/>
      <c r="F13" s="16" t="inlineStr"/>
      <c r="G13" s="16" t="inlineStr"/>
    </row>
    <row r="14" ht="32" customHeight="1">
      <c r="A14" s="17" t="inlineStr">
        <is>
          <t>Рома Исакин</t>
        </is>
      </c>
      <c r="B14" s="17" t="inlineStr">
        <is>
          <t>AI-агент автодеплоя (PoC: 1 шаблон сервера на SafeCloud / CORTEL)</t>
        </is>
      </c>
      <c r="C14" s="17" t="inlineStr">
        <is>
          <t>M3–M6</t>
        </is>
      </c>
      <c r="D14" s="17" t="inlineStr">
        <is>
          <t>✓</t>
        </is>
      </c>
      <c r="E14" s="17" t="inlineStr"/>
      <c r="F14" s="17" t="inlineStr"/>
      <c r="G14" s="17" t="inlineStr"/>
    </row>
    <row r="15" ht="32" customHeight="1">
      <c r="A15" s="16" t="inlineStr">
        <is>
          <t>Рома Исакин</t>
        </is>
      </c>
      <c r="B15" s="16" t="inlineStr">
        <is>
          <t>Регистрация доменов через API партнёра (Reg.ru/RU-Center)</t>
        </is>
      </c>
      <c r="C15" s="16" t="inlineStr">
        <is>
          <t>M5–M7</t>
        </is>
      </c>
      <c r="D15" s="16" t="inlineStr">
        <is>
          <t>✓</t>
        </is>
      </c>
      <c r="E15" s="16" t="inlineStr"/>
      <c r="F15" s="16" t="inlineStr"/>
      <c r="G15" s="16" t="inlineStr"/>
    </row>
    <row r="16" ht="32" customHeight="1">
      <c r="A16" s="17" t="inlineStr">
        <is>
          <t>Артём Левченко</t>
        </is>
      </c>
      <c r="B16" s="17" t="inlineStr">
        <is>
          <t>Лендинг продукта Omnia.AI + waitlist</t>
        </is>
      </c>
      <c r="C16" s="17" t="inlineStr">
        <is>
          <t>M0–M2</t>
        </is>
      </c>
      <c r="D16" s="17" t="inlineStr">
        <is>
          <t>✓</t>
        </is>
      </c>
      <c r="E16" s="17" t="inlineStr"/>
      <c r="F16" s="17" t="inlineStr"/>
      <c r="G16" s="17" t="inlineStr"/>
    </row>
    <row r="17" ht="32" customHeight="1">
      <c r="A17" s="16" t="inlineStr">
        <is>
          <t>Артём Левченко</t>
        </is>
      </c>
      <c r="B17" s="16" t="inlineStr">
        <is>
          <t>Запуск Telegram-канала и YouTube-блога Omnia.AI</t>
        </is>
      </c>
      <c r="C17" s="16" t="inlineStr">
        <is>
          <t>M1–M3</t>
        </is>
      </c>
      <c r="D17" s="16" t="inlineStr">
        <is>
          <t>✓</t>
        </is>
      </c>
      <c r="E17" s="16" t="inlineStr"/>
      <c r="F17" s="16" t="inlineStr"/>
      <c r="G17" s="16" t="inlineStr"/>
    </row>
    <row r="18" ht="32" customHeight="1">
      <c r="A18" s="17" t="inlineStr">
        <is>
          <t>Артём Левченко</t>
        </is>
      </c>
      <c r="B18" s="17" t="inlineStr">
        <is>
          <t>Привлечь 20 беттестеров (cold outreach + waitlist)</t>
        </is>
      </c>
      <c r="C18" s="17" t="inlineStr">
        <is>
          <t>M5–M7</t>
        </is>
      </c>
      <c r="D18" s="17" t="inlineStr">
        <is>
          <t>✓</t>
        </is>
      </c>
      <c r="E18" s="17" t="inlineStr"/>
      <c r="F18" s="17" t="inlineStr"/>
      <c r="G18" s="17" t="inlineStr"/>
    </row>
    <row r="19" ht="32" customHeight="1">
      <c r="A19" s="16" t="inlineStr">
        <is>
          <t>Рома Исакин</t>
        </is>
      </c>
      <c r="B19" s="16" t="inlineStr">
        <is>
          <t>Тех.политика безопасности и аудит auto-deploy</t>
        </is>
      </c>
      <c r="C19" s="16" t="inlineStr">
        <is>
          <t>M3–M6</t>
        </is>
      </c>
      <c r="D19" s="16" t="inlineStr">
        <is>
          <t>✓</t>
        </is>
      </c>
      <c r="E19" s="16" t="inlineStr"/>
      <c r="F19" s="16" t="inlineStr"/>
      <c r="G19" s="16" t="inlineStr"/>
    </row>
    <row r="20" ht="32" customHeight="1">
      <c r="A20" s="17" t="inlineStr">
        <is>
          <t>Артём Левченко</t>
        </is>
      </c>
      <c r="B20" s="17" t="inlineStr">
        <is>
          <t>Юр.документы: оферта, политика конфиденциальности, согласие на обработку ПДн</t>
        </is>
      </c>
      <c r="C20" s="17" t="inlineStr">
        <is>
          <t>M0–M2</t>
        </is>
      </c>
      <c r="D20" s="17" t="inlineStr">
        <is>
          <t>✓</t>
        </is>
      </c>
      <c r="E20" s="17" t="inlineStr"/>
      <c r="F20" s="17" t="inlineStr"/>
      <c r="G20" s="17" t="inlineStr"/>
    </row>
    <row r="21" ht="32" customHeight="1">
      <c r="A21" s="16" t="inlineStr">
        <is>
          <t>Артём Левченко + Рома Исакин</t>
        </is>
      </c>
      <c r="B21" s="16" t="inlineStr">
        <is>
          <t>Финализировать прайс подписок (после калькуляции на листе 7 с реальными числами от Serverum)</t>
        </is>
      </c>
      <c r="C21" s="16" t="inlineStr">
        <is>
          <t>M1–M2</t>
        </is>
      </c>
      <c r="D21" s="16" t="inlineStr">
        <is>
          <t>✓</t>
        </is>
      </c>
      <c r="E21" s="16" t="inlineStr"/>
      <c r="F21" s="16" t="inlineStr"/>
      <c r="G21" s="16" t="inlineStr"/>
    </row>
    <row r="22" ht="32" customHeight="1">
      <c r="A22" s="17" t="inlineStr">
        <is>
          <t>Артём Левченко</t>
        </is>
      </c>
      <c r="B22" s="17" t="inlineStr">
        <is>
          <t>Брендинг Omnia.AI: логотип, гайдлайн, tone of voice</t>
        </is>
      </c>
      <c r="C22" s="17" t="inlineStr">
        <is>
          <t>M0–M2</t>
        </is>
      </c>
      <c r="D22" s="17" t="inlineStr">
        <is>
          <t>✓</t>
        </is>
      </c>
      <c r="E22" s="17" t="inlineStr"/>
      <c r="F22" s="17" t="inlineStr"/>
      <c r="G22" s="17" t="inlineStr"/>
    </row>
    <row r="23" ht="32" customHeight="1">
      <c r="A23" s="16" t="inlineStr">
        <is>
          <t>Артём Левченко</t>
        </is>
      </c>
      <c r="B23" s="16" t="inlineStr">
        <is>
          <t>Финансовая модель на 18 мес (bootstrap)</t>
        </is>
      </c>
      <c r="C23" s="16" t="inlineStr">
        <is>
          <t>M3–M6</t>
        </is>
      </c>
      <c r="D23" s="16" t="inlineStr">
        <is>
          <t>✓</t>
        </is>
      </c>
      <c r="E23" s="16" t="inlineStr"/>
      <c r="F23" s="16" t="inlineStr"/>
      <c r="G23" s="16" t="inlineStr"/>
    </row>
    <row r="24" ht="32" customHeight="1">
      <c r="A24" s="17" t="inlineStr">
        <is>
          <t>Рома Исакин</t>
        </is>
      </c>
      <c r="B24" s="17" t="inlineStr">
        <is>
          <t>Continuous prompt eval — метрики качества генерации по моделям</t>
        </is>
      </c>
      <c r="C24" s="17" t="inlineStr">
        <is>
          <t>M4–M8</t>
        </is>
      </c>
      <c r="D24" s="17" t="inlineStr">
        <is>
          <t>✓</t>
        </is>
      </c>
      <c r="E24" s="17" t="inlineStr"/>
      <c r="F24" s="17" t="inlineStr"/>
      <c r="G24" s="17" t="inlineStr"/>
    </row>
    <row r="25" ht="32" customHeight="1">
      <c r="A25" s="16" t="inlineStr">
        <is>
          <t>Артём Левченко</t>
        </is>
      </c>
      <c r="B25" s="16" t="inlineStr">
        <is>
          <t>Партнёрская программа для агентств (B2B2C) — оферта, % схема</t>
        </is>
      </c>
      <c r="C25" s="16" t="inlineStr">
        <is>
          <t>M10–M14</t>
        </is>
      </c>
      <c r="D25" s="16" t="inlineStr">
        <is>
          <t>✓</t>
        </is>
      </c>
      <c r="E25" s="16" t="inlineStr"/>
      <c r="F25" s="16" t="inlineStr"/>
      <c r="G25" s="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28" customWidth="1" min="4" max="4"/>
    <col width="22" customWidth="1" min="5" max="5"/>
    <col width="22" customWidth="1" min="6" max="6"/>
  </cols>
  <sheetData>
    <row r="1">
      <c r="A1" s="1" t="inlineStr">
        <is>
          <t>Omnia.AI — 13. Customer Journey &amp; метрики</t>
        </is>
      </c>
    </row>
    <row r="2">
      <c r="A2" s="2" t="inlineStr">
        <is>
          <t>Путь пользователя от "не слышал о нас" до "адвокат бренда". Метрики на каждом шаге + воронка с целевыми конверсиями.</t>
        </is>
      </c>
    </row>
    <row r="4">
      <c r="A4" s="3" t="inlineStr">
        <is>
          <t>ЭТАПЫ ПУТИ ПОЛЬЗОВАТЕЛЯ</t>
        </is>
      </c>
    </row>
    <row r="5">
      <c r="A5" s="15" t="inlineStr">
        <is>
          <t>Этап</t>
        </is>
      </c>
      <c r="B5" s="15" t="inlineStr">
        <is>
          <t>Что делает пользователь</t>
        </is>
      </c>
      <c r="C5" s="15" t="inlineStr">
        <is>
          <t>Что делает Omnia.AI</t>
        </is>
      </c>
      <c r="D5" s="15" t="inlineStr">
        <is>
          <t>Целевая метрика этапа</t>
        </is>
      </c>
      <c r="E5" s="15" t="inlineStr">
        <is>
          <t>Бенчмарк</t>
        </is>
      </c>
      <c r="F5" s="15" t="inlineStr">
        <is>
          <t>Триггер перехода далее</t>
        </is>
      </c>
    </row>
    <row r="6" ht="60" customHeight="1">
      <c r="A6" s="16" t="inlineStr">
        <is>
          <t>1. Awareness (узнал)</t>
        </is>
      </c>
      <c r="B6" s="16" t="inlineStr">
        <is>
          <t>Видит контент в YouTube / Telegram / Habr / Я.Директ. Слышит от друга/коллеги.</t>
        </is>
      </c>
      <c r="C6" s="16" t="inlineStr">
        <is>
          <t>Контент-маркетинг, perf, реферальная программа, PR, партнёрки</t>
        </is>
      </c>
      <c r="D6" s="16" t="inlineStr">
        <is>
          <t>Visits</t>
        </is>
      </c>
      <c r="E6" s="16" t="inlineStr">
        <is>
          <t>15 000 / мес к M6, 50 000 к M12</t>
        </is>
      </c>
      <c r="F6" s="16" t="inlineStr">
        <is>
          <t>Кликнул на лендинг</t>
        </is>
      </c>
    </row>
    <row r="7" ht="60" customHeight="1">
      <c r="A7" s="17" t="inlineStr">
        <is>
          <t>2. Consideration (изучает)</t>
        </is>
      </c>
      <c r="B7" s="17" t="inlineStr">
        <is>
          <t>Изучает лендинг, смотрит демо-видео, читает кейсы, сравнивает с Tilda/Lovable</t>
        </is>
      </c>
      <c r="C7" s="17" t="inlineStr">
        <is>
          <t>Лендинг с интерактивным демо, видео-кейсы, FAQ, калькулятор экономии</t>
        </is>
      </c>
      <c r="D7" s="17" t="inlineStr">
        <is>
          <t>Visit → Signup conversion</t>
        </is>
      </c>
      <c r="E7" s="17" t="inlineStr">
        <is>
          <t>3-5%</t>
        </is>
      </c>
      <c r="F7" s="17" t="inlineStr">
        <is>
          <t>Регистрация (email + пароль)</t>
        </is>
      </c>
    </row>
    <row r="8" ht="60" customHeight="1">
      <c r="A8" s="16" t="inlineStr">
        <is>
          <t>3. Trial (пробует)</t>
        </is>
      </c>
      <c r="B8" s="16" t="inlineStr">
        <is>
          <t>Регистрируется, получает 1 000 ₽ welcome-токенов, делает первый сайт</t>
        </is>
      </c>
      <c r="C8" s="16" t="inlineStr">
        <is>
          <t>Онбординг-чек-лист, 5 шаблонов, AI-помощник, видео-туториалы</t>
        </is>
      </c>
      <c r="D8" s="16" t="inlineStr">
        <is>
          <t>Signup → First Project</t>
        </is>
      </c>
      <c r="E8" s="16" t="inlineStr">
        <is>
          <t>60-70%</t>
        </is>
      </c>
      <c r="F8" s="16" t="inlineStr">
        <is>
          <t>Первый промпт сгенерирован</t>
        </is>
      </c>
    </row>
    <row r="9" ht="60" customHeight="1">
      <c r="A9" s="17" t="inlineStr">
        <is>
          <t>4. Activation (увидел ценность)</t>
        </is>
      </c>
      <c r="B9" s="17" t="inlineStr">
        <is>
          <t>Сделал сайт, увидел превью, сделал откат версии — понял "вау"</t>
        </is>
      </c>
      <c r="C9" s="17" t="inlineStr">
        <is>
          <t>Дефолтные шаблоны "вау-эффекта", быстрая генерация, читаемый UI версий</t>
        </is>
      </c>
      <c r="D9" s="17" t="inlineStr">
        <is>
          <t>Activation Rate (deployed first site)</t>
        </is>
      </c>
      <c r="E9" s="17" t="inlineStr">
        <is>
          <t>30-40% от signups</t>
        </is>
      </c>
      <c r="F9" s="17" t="inlineStr">
        <is>
          <t>Сайт задеплоен на наш домен</t>
        </is>
      </c>
    </row>
    <row r="10" ht="60" customHeight="1">
      <c r="A10" s="16" t="inlineStr">
        <is>
          <t>5. Paying (купил)</t>
        </is>
      </c>
      <c r="B10" s="16" t="inlineStr">
        <is>
          <t>Закончились welcome-токены / нужен свой домен → пополняет или подписывается</t>
        </is>
      </c>
      <c r="C10" s="16" t="inlineStr">
        <is>
          <t>Smart-prompts "нужно больше токенов?", upsell-флоу, free trial 14 дней</t>
        </is>
      </c>
      <c r="D10" s="16" t="inlineStr">
        <is>
          <t>Trial → Paid conversion</t>
        </is>
      </c>
      <c r="E10" s="16" t="inlineStr">
        <is>
          <t>8-12%</t>
        </is>
      </c>
      <c r="F10" s="16" t="inlineStr">
        <is>
          <t>Первая оплата</t>
        </is>
      </c>
    </row>
    <row r="11" ht="60" customHeight="1">
      <c r="A11" s="17" t="inlineStr">
        <is>
          <t>6. Retention (остался)</t>
        </is>
      </c>
      <c r="B11" s="17" t="inlineStr">
        <is>
          <t>Регулярно возвращается, докатывает проект, использует токены подписки</t>
        </is>
      </c>
      <c r="C11" s="17" t="inlineStr">
        <is>
          <t>Email с тиками "что нового", лента активности, новые шаблоны, push при простое</t>
        </is>
      </c>
      <c r="D11" s="17" t="inlineStr">
        <is>
          <t>Month-2 retention</t>
        </is>
      </c>
      <c r="E11" s="17" t="inlineStr">
        <is>
          <t>70-80%</t>
        </is>
      </c>
      <c r="F11" s="17" t="inlineStr">
        <is>
          <t>MRR продолжается</t>
        </is>
      </c>
    </row>
    <row r="12" ht="60" customHeight="1">
      <c r="A12" s="16" t="inlineStr">
        <is>
          <t>7. Expansion (вырос)</t>
        </is>
      </c>
      <c r="B12" s="16" t="inlineStr">
        <is>
          <t>Перешёл со Starter на Pro/Enterprise, купил кастом-часы</t>
        </is>
      </c>
      <c r="C12" s="16" t="inlineStr">
        <is>
          <t>In-app prompt при нехватке токенов, кейсы клиентов с дорогих тарифов</t>
        </is>
      </c>
      <c r="D12" s="16" t="inlineStr">
        <is>
          <t>Expansion MRR / Net Dollar Retention</t>
        </is>
      </c>
      <c r="E12" s="16" t="inlineStr">
        <is>
          <t>NDR ≥ 110%</t>
        </is>
      </c>
      <c r="F12" s="16" t="inlineStr">
        <is>
          <t>Upgrade подписки</t>
        </is>
      </c>
    </row>
    <row r="13" ht="60" customHeight="1">
      <c r="A13" s="17" t="inlineStr">
        <is>
          <t>8. Advocacy (рассказал)</t>
        </is>
      </c>
      <c r="B13" s="17" t="inlineStr">
        <is>
          <t>Делится в соцсетях, приводит друзей, оставляет отзывы</t>
        </is>
      </c>
      <c r="C13" s="17" t="inlineStr">
        <is>
          <t>Реферальная программа (200 ₽ обоим), publicly-shared проекты, NPS-опрос</t>
        </is>
      </c>
      <c r="D13" s="17" t="inlineStr">
        <is>
          <t>NPS, реферальный коэффициент K</t>
        </is>
      </c>
      <c r="E13" s="17" t="inlineStr">
        <is>
          <t>NPS ≥ 50, K ≥ 0.3</t>
        </is>
      </c>
      <c r="F13" s="17" t="inlineStr">
        <is>
          <t>Новый пользователь от реферала</t>
        </is>
      </c>
    </row>
    <row r="16">
      <c r="A16" s="3" t="inlineStr">
        <is>
          <t>ВОРОНКА КОНВЕРСИИ (год 1, цели)</t>
        </is>
      </c>
    </row>
    <row r="17">
      <c r="A17" s="15" t="inlineStr">
        <is>
          <t>Этап воронки</t>
        </is>
      </c>
      <c r="B17" s="15" t="inlineStr">
        <is>
          <t>Цель за 12 мес</t>
        </is>
      </c>
      <c r="C17" s="15" t="inlineStr">
        <is>
          <t>Конверсия из предыдущего, %</t>
        </is>
      </c>
      <c r="D17" s="15" t="inlineStr">
        <is>
          <t>CAC blended на этом шаге, ₽</t>
        </is>
      </c>
    </row>
    <row r="18">
      <c r="A18" s="23" t="inlineStr">
        <is>
          <t>Visits на лендинг</t>
        </is>
      </c>
      <c r="B18" s="48" t="n">
        <v>200000</v>
      </c>
      <c r="C18" s="23" t="inlineStr">
        <is>
          <t>—</t>
        </is>
      </c>
      <c r="D18" s="23" t="inlineStr">
        <is>
          <t>—</t>
        </is>
      </c>
    </row>
    <row r="19">
      <c r="A19" s="23" t="inlineStr">
        <is>
          <t>Signups</t>
        </is>
      </c>
      <c r="B19" s="48" t="n">
        <v>8000</v>
      </c>
      <c r="C19" s="23" t="inlineStr">
        <is>
          <t>4%</t>
        </is>
      </c>
      <c r="D19" s="23" t="inlineStr">
        <is>
          <t>500</t>
        </is>
      </c>
    </row>
    <row r="20">
      <c r="A20" s="23" t="inlineStr">
        <is>
          <t>First Project Created</t>
        </is>
      </c>
      <c r="B20" s="48" t="n">
        <v>5200</v>
      </c>
      <c r="C20" s="23" t="inlineStr">
        <is>
          <t>65%</t>
        </is>
      </c>
      <c r="D20" s="23" t="inlineStr">
        <is>
          <t>750</t>
        </is>
      </c>
    </row>
    <row r="21">
      <c r="A21" s="23" t="inlineStr">
        <is>
          <t>Activated (deployed site)</t>
        </is>
      </c>
      <c r="B21" s="48" t="n">
        <v>1800</v>
      </c>
      <c r="C21" s="23" t="inlineStr">
        <is>
          <t>35%</t>
        </is>
      </c>
      <c r="D21" s="23" t="inlineStr">
        <is>
          <t>2200</t>
        </is>
      </c>
    </row>
    <row r="22">
      <c r="A22" s="23" t="inlineStr">
        <is>
          <t>Paying customers</t>
        </is>
      </c>
      <c r="B22" s="48" t="n">
        <v>200</v>
      </c>
      <c r="C22" s="23" t="inlineStr">
        <is>
          <t>11%</t>
        </is>
      </c>
      <c r="D22" s="23" t="inlineStr">
        <is>
          <t>5000</t>
        </is>
      </c>
    </row>
    <row r="23">
      <c r="A23" s="23" t="inlineStr">
        <is>
          <t>Retained &gt; 6 months</t>
        </is>
      </c>
      <c r="B23" s="48" t="n">
        <v>140</v>
      </c>
      <c r="C23" s="23" t="inlineStr">
        <is>
          <t>70%</t>
        </is>
      </c>
      <c r="D23" s="23" t="inlineStr">
        <is>
          <t>—</t>
        </is>
      </c>
    </row>
    <row r="26">
      <c r="A26" s="3" t="inlineStr">
        <is>
          <t>МЕТРИКИ — что мы измеряем</t>
        </is>
      </c>
    </row>
    <row r="27" ht="35" customHeight="1">
      <c r="A27" s="49" t="inlineStr">
        <is>
          <t>NORTH STAR METRIC</t>
        </is>
      </c>
      <c r="B27" s="11" t="inlineStr">
        <is>
          <t>Активированные проекты в месяц (ActiveDeployedProjects per Month) — лучший прокси на здоровье продукта</t>
        </is>
      </c>
    </row>
    <row r="29">
      <c r="A29" s="15" t="inlineStr">
        <is>
          <t>Слой</t>
        </is>
      </c>
      <c r="B29" s="15" t="inlineStr">
        <is>
          <t>Метрика</t>
        </is>
      </c>
      <c r="C29" s="15" t="inlineStr">
        <is>
          <t>Целевое значение</t>
        </is>
      </c>
      <c r="D29" s="15" t="inlineStr">
        <is>
          <t>Частота снятия</t>
        </is>
      </c>
    </row>
    <row r="30" ht="35" customHeight="1">
      <c r="A30" s="16" t="inlineStr">
        <is>
          <t>Acquisition</t>
        </is>
      </c>
      <c r="B30" s="16" t="inlineStr">
        <is>
          <t>Visits, Signups, CAC blended, Channel attribution</t>
        </is>
      </c>
      <c r="C30" s="16" t="inlineStr">
        <is>
          <t>8 000 signups / 12 мес</t>
        </is>
      </c>
      <c r="D30" s="16" t="inlineStr">
        <is>
          <t>Еженедельно</t>
        </is>
      </c>
    </row>
    <row r="31" ht="35" customHeight="1">
      <c r="A31" s="17" t="inlineStr">
        <is>
          <t>Activation</t>
        </is>
      </c>
      <c r="B31" s="17" t="inlineStr">
        <is>
          <t>Activation Rate (sites deployed / signups), Time to Activate</t>
        </is>
      </c>
      <c r="C31" s="17" t="inlineStr">
        <is>
          <t>≥ 35%, ≤ 24ч</t>
        </is>
      </c>
      <c r="D31" s="17" t="inlineStr">
        <is>
          <t>Еженедельно</t>
        </is>
      </c>
    </row>
    <row r="32" ht="35" customHeight="1">
      <c r="A32" s="16" t="inlineStr">
        <is>
          <t>Retention</t>
        </is>
      </c>
      <c r="B32" s="16" t="inlineStr">
        <is>
          <t>Month-1, Month-3, Month-6 retention; cohort heatmap</t>
        </is>
      </c>
      <c r="C32" s="16" t="inlineStr">
        <is>
          <t>M1 ≥ 70%, M3 ≥ 50%, M6 ≥ 35%</t>
        </is>
      </c>
      <c r="D32" s="16" t="inlineStr">
        <is>
          <t>Ежемесячно</t>
        </is>
      </c>
    </row>
    <row r="33" ht="35" customHeight="1">
      <c r="A33" s="17" t="inlineStr">
        <is>
          <t>Revenue</t>
        </is>
      </c>
      <c r="B33" s="17" t="inlineStr">
        <is>
          <t>MRR, ARR, ARPU, Expansion MRR, Churn MRR</t>
        </is>
      </c>
      <c r="C33" s="17" t="inlineStr">
        <is>
          <t>MRR ≥ 3М ₽ к M12</t>
        </is>
      </c>
      <c r="D33" s="17" t="inlineStr">
        <is>
          <t>Ежемесячно</t>
        </is>
      </c>
    </row>
    <row r="34" ht="35" customHeight="1">
      <c r="A34" s="16" t="inlineStr">
        <is>
          <t>Product</t>
        </is>
      </c>
      <c r="B34" s="16" t="inlineStr">
        <is>
          <t>DAU/MAU, Tokens consumed/user, Versions per project, Rollback rate</t>
        </is>
      </c>
      <c r="C34" s="16" t="inlineStr">
        <is>
          <t>Rollback rate 15-30% (показатель доверия фиче)</t>
        </is>
      </c>
      <c r="D34" s="16" t="inlineStr">
        <is>
          <t>Еженедельно</t>
        </is>
      </c>
    </row>
    <row r="35" ht="35" customHeight="1">
      <c r="A35" s="17" t="inlineStr">
        <is>
          <t>LLM-cost</t>
        </is>
      </c>
      <c r="B35" s="17" t="inlineStr">
        <is>
          <t>Доля LLM в COGS, Cache hit rate, Cost per token clientwise</t>
        </is>
      </c>
      <c r="C35" s="17" t="inlineStr">
        <is>
          <t>LLM ≤ 35% revenue, Cache ≥ 40%</t>
        </is>
      </c>
      <c r="D35" s="17" t="inlineStr">
        <is>
          <t>Еженедельно</t>
        </is>
      </c>
    </row>
    <row r="36" ht="35" customHeight="1">
      <c r="A36" s="16" t="inlineStr">
        <is>
          <t>Quality</t>
        </is>
      </c>
      <c r="B36" s="16" t="inlineStr">
        <is>
          <t>NPS, CSAT, Support response time, Failed deploys %</t>
        </is>
      </c>
      <c r="C36" s="16" t="inlineStr">
        <is>
          <t>NPS ≥ 50, Failed deploys ≤ 2%</t>
        </is>
      </c>
      <c r="D36" s="16" t="inlineStr">
        <is>
          <t>Ежемесячно</t>
        </is>
      </c>
    </row>
    <row r="37" ht="35" customHeight="1">
      <c r="A37" s="17" t="inlineStr">
        <is>
          <t>Team health</t>
        </is>
      </c>
      <c r="B37" s="17" t="inlineStr">
        <is>
          <t>Headcount, Burn rate, Runway months, Velocity</t>
        </is>
      </c>
      <c r="C37" s="17" t="inlineStr">
        <is>
          <t>Runway ≥ 12 мес всегда</t>
        </is>
      </c>
      <c r="D37" s="17" t="inlineStr">
        <is>
          <t>Ежемесячно</t>
        </is>
      </c>
    </row>
  </sheetData>
  <mergeCells count="4">
    <mergeCell ref="A26:F26"/>
    <mergeCell ref="A16:F16"/>
    <mergeCell ref="B27:F27"/>
    <mergeCell ref="A4:F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50" customWidth="1" min="4" max="4"/>
    <col width="14" customWidth="1" min="5" max="5"/>
  </cols>
  <sheetData>
    <row r="1">
      <c r="A1" s="58" t="inlineStr">
        <is>
          <t>Omnia.AI — 14. GTM план (v2, фокус: обогнать Promto по платящим к M18)</t>
        </is>
      </c>
    </row>
    <row r="2" ht="32" customHeight="1">
      <c r="A2" s="62" t="inlineStr">
        <is>
          <t>Стратегия: Free-funnel → Lite/Starter массой → upsell в Pro/Enterprise. Перехват Promto-трафика на низком тире.</t>
        </is>
      </c>
    </row>
    <row r="4" ht="36" customHeight="1">
      <c r="A4" s="63" t="inlineStr">
        <is>
          <t>Этап</t>
        </is>
      </c>
      <c r="B4" s="63" t="inlineStr">
        <is>
          <t>Цели по платящим</t>
        </is>
      </c>
      <c r="C4" s="63" t="inlineStr">
        <is>
          <t>Главный канал</t>
        </is>
      </c>
      <c r="D4" s="63" t="inlineStr">
        <is>
          <t>Подход</t>
        </is>
      </c>
      <c r="E4" s="63" t="inlineStr">
        <is>
          <t>Срок</t>
        </is>
      </c>
    </row>
    <row r="5">
      <c r="A5" s="60" t="inlineStr">
        <is>
          <t>Stage 0: Pre-launch</t>
        </is>
      </c>
      <c r="B5" s="60" t="inlineStr">
        <is>
          <t>500-1000 в waitlist</t>
        </is>
      </c>
      <c r="C5" s="60" t="inlineStr">
        <is>
          <t>Founder-led контент</t>
        </is>
      </c>
      <c r="D5" s="60" t="inlineStr">
        <is>
          <t>Manifesto-пост, демо-видео, статья «Чем Omnia отличается от Promto» (Habr+vc.ru). Pre-sales annual Lite по 5 940 ₽.</t>
        </is>
      </c>
      <c r="E5" s="60" t="inlineStr">
        <is>
          <t>M0–M3</t>
        </is>
      </c>
    </row>
    <row r="6" ht="60" customHeight="1">
      <c r="A6" s="60" t="inlineStr">
        <is>
          <t>Stage 1: Free MVP</t>
        </is>
      </c>
      <c r="B6" s="60" t="inlineStr">
        <is>
          <t>300 Free signups, 50 Lite платных</t>
        </is>
      </c>
      <c r="C6" s="60" t="inlineStr">
        <is>
          <t>Yandex.Direct (Promto-альт. кеи) + Telegram</t>
        </is>
      </c>
      <c r="D6" s="60" t="inlineStr">
        <is>
          <t>Кеи: «promto альтернатива», «AI-сайт с откатом», «конструктор с backend». Бюджет Я.Директ 80к/мес.</t>
        </is>
      </c>
      <c r="E6" s="60" t="inlineStr">
        <is>
          <t>M4–M6</t>
        </is>
      </c>
    </row>
    <row r="7" ht="60" customHeight="1">
      <c r="A7" s="60" t="inlineStr">
        <is>
          <t>Stage 2: Starter ramp</t>
        </is>
      </c>
      <c r="B7" s="60" t="inlineStr">
        <is>
          <t>200 платящих, ARPU 1 500</t>
        </is>
      </c>
      <c r="C7" s="60" t="inlineStr">
        <is>
          <t>Performance + контент-маркетинг</t>
        </is>
      </c>
      <c r="D7" s="60" t="inlineStr">
        <is>
          <t>Кейсы беттестеров. YouTube-серия Артёма «Собираем 5 продуктов на Omnia». Habr-статьи с сравнением.</t>
        </is>
      </c>
      <c r="E7" s="60" t="inlineStr">
        <is>
          <t>M7–M9</t>
        </is>
      </c>
    </row>
    <row r="8" ht="60" customHeight="1">
      <c r="A8" s="60" t="inlineStr">
        <is>
          <t>Stage 3: Pro launch</t>
        </is>
      </c>
      <c r="B8" s="60" t="inlineStr">
        <is>
          <t>600 платящих, ARPU 2 900</t>
        </is>
      </c>
      <c r="C8" s="60" t="inlineStr">
        <is>
          <t>Перформ + рефералы + B2B2C</t>
        </is>
      </c>
      <c r="D8" s="60" t="inlineStr">
        <is>
          <t>Чат-боты как separate landing. Реферальная программа 200 ₽ обоим. Партнёрки с агентствами 30%-revenue-share.</t>
        </is>
      </c>
      <c r="E8" s="60" t="inlineStr">
        <is>
          <t>M10–M12</t>
        </is>
      </c>
    </row>
    <row r="9" ht="60" customHeight="1">
      <c r="A9" s="60" t="inlineStr">
        <is>
          <t>Stage 4: Enterprise + 152-ФЗ</t>
        </is>
      </c>
      <c r="B9" s="60" t="inlineStr">
        <is>
          <t>1 000 платящих, ARPU 3 500</t>
        </is>
      </c>
      <c r="C9" s="60" t="inlineStr">
        <is>
          <t>Sales + sales-enablement</t>
        </is>
      </c>
      <c r="D9" s="60" t="inlineStr">
        <is>
          <t>Outbound к мидл-СМБ через личные письма. 1С-конференции. PR в Sostav/T-Ж.</t>
        </is>
      </c>
      <c r="E9" s="60" t="inlineStr">
        <is>
          <t>M13–M15</t>
        </is>
      </c>
    </row>
    <row r="10" ht="60" customHeight="1">
      <c r="A10" s="60" t="inlineStr">
        <is>
          <t>Stage 5: Marketplace + scale</t>
        </is>
      </c>
      <c r="B10" s="60" t="inlineStr">
        <is>
          <t>1 500+ платящих, ARPU 4 200</t>
        </is>
      </c>
      <c r="C10" s="60" t="inlineStr">
        <is>
          <t>Виральные циклы + B2B2C</t>
        </is>
      </c>
      <c r="D10" s="60" t="inlineStr">
        <is>
          <t>Marketplace шаблонов, white-label для агентств, mobile app gen. NDR ≥ 110%.</t>
        </is>
      </c>
      <c r="E10" s="60" t="inlineStr">
        <is>
          <t>M16–M18</t>
        </is>
      </c>
    </row>
    <row r="11">
      <c r="A11" s="60" t="inlineStr"/>
      <c r="B11" s="60" t="inlineStr"/>
      <c r="C11" s="60" t="inlineStr"/>
      <c r="D11" s="60" t="inlineStr"/>
      <c r="E11" s="60" t="inlineStr"/>
    </row>
    <row r="12">
      <c r="A12" s="60" t="inlineStr">
        <is>
          <t>─── ПЕРЕХВАТ PROMTO-ТРАФИКА ───</t>
        </is>
      </c>
      <c r="B12" s="60" t="inlineStr"/>
      <c r="C12" s="60" t="inlineStr"/>
      <c r="D12" s="60" t="inlineStr"/>
      <c r="E12" s="60" t="inlineStr"/>
    </row>
    <row r="13">
      <c r="A13" s="60" t="inlineStr">
        <is>
          <t>1. Брендовые кеи в Я.Директ</t>
        </is>
      </c>
      <c r="B13" s="60" t="inlineStr">
        <is>
          <t>+30% воронки</t>
        </is>
      </c>
      <c r="C13" s="60" t="inlineStr">
        <is>
          <t>Y.Direct + VK Ads</t>
        </is>
      </c>
      <c r="D13" s="60" t="inlineStr">
        <is>
          <t>Ключи: «промто альтернатива», «promto vs», «promto отзывы», «конструктор с откатом версий». CTR-target 8%.</t>
        </is>
      </c>
      <c r="E13" s="60" t="inlineStr">
        <is>
          <t>M4+</t>
        </is>
      </c>
    </row>
    <row r="14">
      <c r="A14" s="60" t="inlineStr">
        <is>
          <t>2. Сравнительные статьи</t>
        </is>
      </c>
      <c r="B14" s="60" t="inlineStr">
        <is>
          <t>+SEO-органика</t>
        </is>
      </c>
      <c r="C14" s="60" t="inlineStr">
        <is>
          <t>Habr + vc.ru + dev.to</t>
        </is>
      </c>
      <c r="D14" s="60" t="inlineStr">
        <is>
          <t>5 статей за 6 месяцев: «Omnia vs Promto», «Promto vs Tilda vs Omnia», «AI-конструкторы РФ 2026: обзор». Каждая со сравнительной таблицей и кейсом.</t>
        </is>
      </c>
      <c r="E14" s="60" t="inlineStr">
        <is>
          <t>M4–M9</t>
        </is>
      </c>
    </row>
    <row r="15" ht="38" customHeight="1">
      <c r="A15" s="60" t="inlineStr">
        <is>
          <t>3. YouTube-обзоры с прямым сравнением</t>
        </is>
      </c>
      <c r="B15" s="60" t="inlineStr">
        <is>
          <t>+brand</t>
        </is>
      </c>
      <c r="C15" s="60" t="inlineStr">
        <is>
          <t>YouTube + TG</t>
        </is>
      </c>
      <c r="D15" s="60" t="inlineStr">
        <is>
          <t>«Делаю один и тот же сайт на Promto и Omnia — что выйдет быстрее/лучше». Цель — 50к просмотров на видео.</t>
        </is>
      </c>
      <c r="E15" s="60" t="inlineStr">
        <is>
          <t>M5+</t>
        </is>
      </c>
    </row>
    <row r="16" ht="38" customHeight="1">
      <c r="A16" s="60" t="inlineStr">
        <is>
          <t>4. Интерактивный demo на лендинге</t>
        </is>
      </c>
      <c r="B16" s="60" t="inlineStr">
        <is>
          <t>+conv 3→5%</t>
        </is>
      </c>
      <c r="C16" s="60" t="inlineStr">
        <is>
          <t>Лендинг</t>
        </is>
      </c>
      <c r="D16" s="60" t="inlineStr">
        <is>
          <t>Уже сделано — story-driven демо с 5 версиями. Усилить выделенным разделом «vs Promto» с table.</t>
        </is>
      </c>
      <c r="E16" s="60" t="inlineStr">
        <is>
          <t>M0+</t>
        </is>
      </c>
    </row>
    <row r="17" ht="38" customHeight="1">
      <c r="A17" s="60" t="inlineStr">
        <is>
          <t>5. Free trial без карты</t>
        </is>
      </c>
      <c r="B17" s="60" t="inlineStr">
        <is>
          <t>+30% Free signup</t>
        </is>
      </c>
      <c r="C17" s="60" t="inlineStr">
        <is>
          <t>Onboarding</t>
        </is>
      </c>
      <c r="D17" s="60" t="inlineStr">
        <is>
          <t>Та же фича что у Promto. Не упускать парирование.</t>
        </is>
      </c>
      <c r="E17" s="60" t="inlineStr">
        <is>
          <t>M3+</t>
        </is>
      </c>
    </row>
    <row r="18" ht="38" customHeight="1"/>
    <row r="19" ht="38" customHeight="1"/>
    <row r="20" ht="38" customHeight="1"/>
    <row r="21" ht="38" customHeight="1"/>
    <row r="22" ht="38" customHeight="1"/>
    <row r="23" ht="3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</sheetData>
  <mergeCells count="4">
    <mergeCell ref="A26:E26"/>
    <mergeCell ref="A4:E4"/>
    <mergeCell ref="A13:E13"/>
    <mergeCell ref="A42:E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58" t="inlineStr">
        <is>
          <t>Omnia.AI — 15. Финмодель 18 мес (v2, новая 5-tier модель, post-Promto)</t>
        </is>
      </c>
    </row>
    <row r="2">
      <c r="A2" s="75" t="inlineStr">
        <is>
          <t>ARPU растёт по мере зрелости когорты (Lite → Starter → Pro upsell). Объёмы платящих агрессивные, fueled Free-funnel'ом.</t>
        </is>
      </c>
    </row>
    <row r="4" ht="28" customHeight="1">
      <c r="A4" s="65" t="inlineStr">
        <is>
          <t>Параметр</t>
        </is>
      </c>
      <c r="B4" s="79" t="inlineStr">
        <is>
          <t>M1</t>
        </is>
      </c>
      <c r="C4" s="79" t="inlineStr">
        <is>
          <t>M2</t>
        </is>
      </c>
      <c r="D4" s="79" t="inlineStr">
        <is>
          <t>M3</t>
        </is>
      </c>
      <c r="E4" s="79" t="inlineStr">
        <is>
          <t>M4</t>
        </is>
      </c>
      <c r="F4" s="79" t="inlineStr">
        <is>
          <t>M5</t>
        </is>
      </c>
      <c r="G4" s="79" t="inlineStr">
        <is>
          <t>M6</t>
        </is>
      </c>
      <c r="H4" s="79" t="inlineStr">
        <is>
          <t>M7</t>
        </is>
      </c>
      <c r="I4" s="79" t="inlineStr">
        <is>
          <t>M8</t>
        </is>
      </c>
      <c r="J4" s="79" t="inlineStr">
        <is>
          <t>M9</t>
        </is>
      </c>
      <c r="K4" s="79" t="inlineStr">
        <is>
          <t>M10</t>
        </is>
      </c>
      <c r="L4" s="79" t="inlineStr">
        <is>
          <t>M11</t>
        </is>
      </c>
      <c r="M4" s="79" t="inlineStr">
        <is>
          <t>M12</t>
        </is>
      </c>
      <c r="N4" s="79" t="inlineStr">
        <is>
          <t>M13</t>
        </is>
      </c>
      <c r="O4" s="79" t="inlineStr">
        <is>
          <t>M14</t>
        </is>
      </c>
      <c r="P4" s="79" t="inlineStr">
        <is>
          <t>M15</t>
        </is>
      </c>
      <c r="Q4" s="79" t="inlineStr">
        <is>
          <t>M16</t>
        </is>
      </c>
      <c r="R4" s="79" t="inlineStr">
        <is>
          <t>M17</t>
        </is>
      </c>
      <c r="S4" s="79" t="inlineStr">
        <is>
          <t>M18</t>
        </is>
      </c>
    </row>
    <row r="5">
      <c r="A5" s="61" t="inlineStr">
        <is>
          <t>Free signups (новых, мес)</t>
        </is>
      </c>
      <c r="B5" s="80" t="n">
        <v>0</v>
      </c>
      <c r="C5" s="80" t="n">
        <v>0</v>
      </c>
      <c r="D5" s="80" t="n">
        <v>0</v>
      </c>
      <c r="E5" s="80" t="n">
        <v>200</v>
      </c>
      <c r="F5" s="80" t="n">
        <v>400</v>
      </c>
      <c r="G5" s="80" t="n">
        <v>700</v>
      </c>
      <c r="H5" s="80" t="n">
        <v>1100</v>
      </c>
      <c r="I5" s="80" t="n">
        <v>1600</v>
      </c>
      <c r="J5" s="80" t="n">
        <v>2300</v>
      </c>
      <c r="K5" s="80" t="n">
        <v>3200</v>
      </c>
      <c r="L5" s="80" t="n">
        <v>4400</v>
      </c>
      <c r="M5" s="80" t="n">
        <v>5800</v>
      </c>
      <c r="N5" s="80" t="n">
        <v>7400</v>
      </c>
      <c r="O5" s="80" t="n">
        <v>9200</v>
      </c>
      <c r="P5" s="80" t="n">
        <v>11200</v>
      </c>
      <c r="Q5" s="80" t="n">
        <v>13500</v>
      </c>
      <c r="R5" s="80" t="n">
        <v>16000</v>
      </c>
      <c r="S5" s="80" t="n">
        <v>19000</v>
      </c>
    </row>
    <row r="6">
      <c r="A6" s="61" t="inlineStr">
        <is>
          <t>Платящие клиенты (накопленно)</t>
        </is>
      </c>
      <c r="B6" s="80" t="n">
        <v>0</v>
      </c>
      <c r="C6" s="80" t="n">
        <v>0</v>
      </c>
      <c r="D6" s="80" t="n">
        <v>0</v>
      </c>
      <c r="E6" s="80" t="n">
        <v>5</v>
      </c>
      <c r="F6" s="80" t="n">
        <v>15</v>
      </c>
      <c r="G6" s="80" t="n">
        <v>35</v>
      </c>
      <c r="H6" s="80" t="n">
        <v>60</v>
      </c>
      <c r="I6" s="80" t="n">
        <v>120</v>
      </c>
      <c r="J6" s="80" t="n">
        <v>200</v>
      </c>
      <c r="K6" s="80" t="n">
        <v>320</v>
      </c>
      <c r="L6" s="80" t="n">
        <v>480</v>
      </c>
      <c r="M6" s="80" t="n">
        <v>680</v>
      </c>
      <c r="N6" s="80" t="n">
        <v>920</v>
      </c>
      <c r="O6" s="80" t="n">
        <v>1180</v>
      </c>
      <c r="P6" s="80" t="n">
        <v>1450</v>
      </c>
      <c r="Q6" s="80" t="n">
        <v>1750</v>
      </c>
      <c r="R6" s="80" t="n">
        <v>2050</v>
      </c>
      <c r="S6" s="80" t="n">
        <v>2350</v>
      </c>
    </row>
    <row r="7">
      <c r="A7" s="61" t="inlineStr">
        <is>
          <t>ARPU средневзв., ₽/мес</t>
        </is>
      </c>
      <c r="B7" s="70" t="n">
        <v>990</v>
      </c>
      <c r="C7" s="70" t="n">
        <v>990</v>
      </c>
      <c r="D7" s="70" t="n">
        <v>990</v>
      </c>
      <c r="E7" s="70" t="n">
        <v>1100</v>
      </c>
      <c r="F7" s="70" t="n">
        <v>1200</v>
      </c>
      <c r="G7" s="70" t="n">
        <v>1400</v>
      </c>
      <c r="H7" s="70" t="n">
        <v>1700</v>
      </c>
      <c r="I7" s="70" t="n">
        <v>2000</v>
      </c>
      <c r="J7" s="70" t="n">
        <v>2300</v>
      </c>
      <c r="K7" s="70" t="n">
        <v>2600</v>
      </c>
      <c r="L7" s="70" t="n">
        <v>2850</v>
      </c>
      <c r="M7" s="70" t="n">
        <v>3050</v>
      </c>
      <c r="N7" s="70" t="n">
        <v>3250</v>
      </c>
      <c r="O7" s="70" t="n">
        <v>3450</v>
      </c>
      <c r="P7" s="70" t="n">
        <v>3650</v>
      </c>
      <c r="Q7" s="70" t="n">
        <v>3850</v>
      </c>
      <c r="R7" s="70" t="n">
        <v>4000</v>
      </c>
      <c r="S7" s="70" t="n">
        <v>4080</v>
      </c>
    </row>
    <row r="8">
      <c r="A8" s="59" t="inlineStr">
        <is>
          <t>MRR, ₽/мес</t>
        </is>
      </c>
      <c r="B8" s="71">
        <f>B6*B7</f>
        <v/>
      </c>
      <c r="C8" s="71">
        <f>C6*C7</f>
        <v/>
      </c>
      <c r="D8" s="71">
        <f>D6*D7</f>
        <v/>
      </c>
      <c r="E8" s="71">
        <f>E6*E7</f>
        <v/>
      </c>
      <c r="F8" s="71">
        <f>F6*F7</f>
        <v/>
      </c>
      <c r="G8" s="71">
        <f>G6*G7</f>
        <v/>
      </c>
      <c r="H8" s="71">
        <f>H6*H7</f>
        <v/>
      </c>
      <c r="I8" s="71">
        <f>I6*I7</f>
        <v/>
      </c>
      <c r="J8" s="71">
        <f>J6*J7</f>
        <v/>
      </c>
      <c r="K8" s="71">
        <f>K6*K7</f>
        <v/>
      </c>
      <c r="L8" s="71">
        <f>L6*L7</f>
        <v/>
      </c>
      <c r="M8" s="71">
        <f>M6*M7</f>
        <v/>
      </c>
      <c r="N8" s="71">
        <f>N6*N7</f>
        <v/>
      </c>
      <c r="O8" s="71">
        <f>O6*O7</f>
        <v/>
      </c>
      <c r="P8" s="71">
        <f>P6*P7</f>
        <v/>
      </c>
      <c r="Q8" s="71">
        <f>Q6*Q7</f>
        <v/>
      </c>
      <c r="R8" s="71">
        <f>R6*R7</f>
        <v/>
      </c>
      <c r="S8" s="71">
        <f>S6*S7</f>
        <v/>
      </c>
    </row>
    <row r="9">
      <c r="A9" s="61" t="inlineStr">
        <is>
          <t>COGS: LLM API (~25% MRR), ₽</t>
        </is>
      </c>
      <c r="B9" s="81">
        <f>B8*0.25</f>
        <v/>
      </c>
      <c r="C9" s="81">
        <f>C8*0.25</f>
        <v/>
      </c>
      <c r="D9" s="81">
        <f>D8*0.25</f>
        <v/>
      </c>
      <c r="E9" s="81">
        <f>E8*0.25</f>
        <v/>
      </c>
      <c r="F9" s="81">
        <f>F8*0.25</f>
        <v/>
      </c>
      <c r="G9" s="81">
        <f>G8*0.25</f>
        <v/>
      </c>
      <c r="H9" s="81">
        <f>H8*0.25</f>
        <v/>
      </c>
      <c r="I9" s="81">
        <f>I8*0.25</f>
        <v/>
      </c>
      <c r="J9" s="81">
        <f>J8*0.25</f>
        <v/>
      </c>
      <c r="K9" s="81">
        <f>K8*0.25</f>
        <v/>
      </c>
      <c r="L9" s="81">
        <f>L8*0.25</f>
        <v/>
      </c>
      <c r="M9" s="81">
        <f>M8*0.25</f>
        <v/>
      </c>
      <c r="N9" s="81">
        <f>N8*0.25</f>
        <v/>
      </c>
      <c r="O9" s="81">
        <f>O8*0.25</f>
        <v/>
      </c>
      <c r="P9" s="81">
        <f>P8*0.25</f>
        <v/>
      </c>
      <c r="Q9" s="81">
        <f>Q8*0.25</f>
        <v/>
      </c>
      <c r="R9" s="81">
        <f>R8*0.25</f>
        <v/>
      </c>
      <c r="S9" s="81">
        <f>S8*0.25</f>
        <v/>
      </c>
    </row>
    <row r="10">
      <c r="A10" s="61" t="inlineStr">
        <is>
          <t>COGS: серверы (~10% MRR), ₽</t>
        </is>
      </c>
      <c r="B10" s="81">
        <f>B8*0.10</f>
        <v/>
      </c>
      <c r="C10" s="81">
        <f>C8*0.10</f>
        <v/>
      </c>
      <c r="D10" s="81">
        <f>D8*0.10</f>
        <v/>
      </c>
      <c r="E10" s="81">
        <f>E8*0.10</f>
        <v/>
      </c>
      <c r="F10" s="81">
        <f>F8*0.10</f>
        <v/>
      </c>
      <c r="G10" s="81">
        <f>G8*0.10</f>
        <v/>
      </c>
      <c r="H10" s="81">
        <f>H8*0.10</f>
        <v/>
      </c>
      <c r="I10" s="81">
        <f>I8*0.10</f>
        <v/>
      </c>
      <c r="J10" s="81">
        <f>J8*0.10</f>
        <v/>
      </c>
      <c r="K10" s="81">
        <f>K8*0.10</f>
        <v/>
      </c>
      <c r="L10" s="81">
        <f>L8*0.10</f>
        <v/>
      </c>
      <c r="M10" s="81">
        <f>M8*0.10</f>
        <v/>
      </c>
      <c r="N10" s="81">
        <f>N8*0.10</f>
        <v/>
      </c>
      <c r="O10" s="81">
        <f>O8*0.10</f>
        <v/>
      </c>
      <c r="P10" s="81">
        <f>P8*0.10</f>
        <v/>
      </c>
      <c r="Q10" s="81">
        <f>Q8*0.10</f>
        <v/>
      </c>
      <c r="R10" s="81">
        <f>R8*0.10</f>
        <v/>
      </c>
      <c r="S10" s="81">
        <f>S8*0.10</f>
        <v/>
      </c>
    </row>
    <row r="11">
      <c r="A11" s="61" t="inlineStr">
        <is>
          <t>COGS: комиссии (~3% MRR), ₽</t>
        </is>
      </c>
      <c r="B11" s="81">
        <f>B8*0.03</f>
        <v/>
      </c>
      <c r="C11" s="81">
        <f>C8*0.03</f>
        <v/>
      </c>
      <c r="D11" s="81">
        <f>D8*0.03</f>
        <v/>
      </c>
      <c r="E11" s="81">
        <f>E8*0.03</f>
        <v/>
      </c>
      <c r="F11" s="81">
        <f>F8*0.03</f>
        <v/>
      </c>
      <c r="G11" s="81">
        <f>G8*0.03</f>
        <v/>
      </c>
      <c r="H11" s="81">
        <f>H8*0.03</f>
        <v/>
      </c>
      <c r="I11" s="81">
        <f>I8*0.03</f>
        <v/>
      </c>
      <c r="J11" s="81">
        <f>J8*0.03</f>
        <v/>
      </c>
      <c r="K11" s="81">
        <f>K8*0.03</f>
        <v/>
      </c>
      <c r="L11" s="81">
        <f>L8*0.03</f>
        <v/>
      </c>
      <c r="M11" s="81">
        <f>M8*0.03</f>
        <v/>
      </c>
      <c r="N11" s="81">
        <f>N8*0.03</f>
        <v/>
      </c>
      <c r="O11" s="81">
        <f>O8*0.03</f>
        <v/>
      </c>
      <c r="P11" s="81">
        <f>P8*0.03</f>
        <v/>
      </c>
      <c r="Q11" s="81">
        <f>Q8*0.03</f>
        <v/>
      </c>
      <c r="R11" s="81">
        <f>R8*0.03</f>
        <v/>
      </c>
      <c r="S11" s="81">
        <f>S8*0.03</f>
        <v/>
      </c>
    </row>
    <row r="12">
      <c r="A12" s="59" t="inlineStr">
        <is>
          <t>ГРОСС-ПРИБЫЛЬ, ₽</t>
        </is>
      </c>
      <c r="B12" s="74">
        <f>B8-B9-B10-B11</f>
        <v/>
      </c>
      <c r="C12" s="74">
        <f>C8-C9-C10-C11</f>
        <v/>
      </c>
      <c r="D12" s="74">
        <f>D8-D9-D10-D11</f>
        <v/>
      </c>
      <c r="E12" s="74">
        <f>E8-E9-E10-E11</f>
        <v/>
      </c>
      <c r="F12" s="74">
        <f>F8-F9-F10-F11</f>
        <v/>
      </c>
      <c r="G12" s="74">
        <f>G8-G9-G10-G11</f>
        <v/>
      </c>
      <c r="H12" s="74">
        <f>H8-H9-H10-H11</f>
        <v/>
      </c>
      <c r="I12" s="74">
        <f>I8-I9-I10-I11</f>
        <v/>
      </c>
      <c r="J12" s="74">
        <f>J8-J9-J10-J11</f>
        <v/>
      </c>
      <c r="K12" s="74">
        <f>K8-K9-K10-K11</f>
        <v/>
      </c>
      <c r="L12" s="74">
        <f>L8-L9-L10-L11</f>
        <v/>
      </c>
      <c r="M12" s="74">
        <f>M8-M9-M10-M11</f>
        <v/>
      </c>
      <c r="N12" s="74">
        <f>N8-N9-N10-N11</f>
        <v/>
      </c>
      <c r="O12" s="74">
        <f>O8-O9-O10-O11</f>
        <v/>
      </c>
      <c r="P12" s="74">
        <f>P8-P9-P10-P11</f>
        <v/>
      </c>
      <c r="Q12" s="74">
        <f>Q8-Q9-Q10-Q11</f>
        <v/>
      </c>
      <c r="R12" s="74">
        <f>R8-R9-R10-R11</f>
        <v/>
      </c>
      <c r="S12" s="74">
        <f>S8-S9-S10-S11</f>
        <v/>
      </c>
    </row>
    <row r="13">
      <c r="A13" s="61" t="inlineStr">
        <is>
          <t>OPEX: FOT команды, ₽</t>
        </is>
      </c>
      <c r="B13" s="70" t="n">
        <v>0</v>
      </c>
      <c r="C13" s="70" t="n">
        <v>0</v>
      </c>
      <c r="D13" s="70" t="n">
        <v>0</v>
      </c>
      <c r="E13" s="70" t="n">
        <v>0</v>
      </c>
      <c r="F13" s="70" t="n">
        <v>0</v>
      </c>
      <c r="G13" s="70" t="n">
        <v>0</v>
      </c>
      <c r="H13" s="70" t="n">
        <v>100000</v>
      </c>
      <c r="I13" s="70" t="n">
        <v>100000</v>
      </c>
      <c r="J13" s="70" t="n">
        <v>100000</v>
      </c>
      <c r="K13" s="70" t="n">
        <v>280000</v>
      </c>
      <c r="L13" s="70" t="n">
        <v>280000</v>
      </c>
      <c r="M13" s="70" t="n">
        <v>280000</v>
      </c>
      <c r="N13" s="70" t="n">
        <v>500000</v>
      </c>
      <c r="O13" s="70" t="n">
        <v>500000</v>
      </c>
      <c r="P13" s="70" t="n">
        <v>1000000</v>
      </c>
      <c r="Q13" s="70" t="n">
        <v>1000000</v>
      </c>
      <c r="R13" s="70" t="n">
        <v>1500000</v>
      </c>
      <c r="S13" s="70" t="n">
        <v>1500000</v>
      </c>
    </row>
    <row r="14">
      <c r="A14" s="61" t="inlineStr">
        <is>
          <t>OPEX: маркетинг, ₽</t>
        </is>
      </c>
      <c r="B14" s="70" t="n">
        <v>10000</v>
      </c>
      <c r="C14" s="70" t="n">
        <v>10000</v>
      </c>
      <c r="D14" s="70" t="n">
        <v>10000</v>
      </c>
      <c r="E14" s="70" t="n">
        <v>80000</v>
      </c>
      <c r="F14" s="70" t="n">
        <v>80000</v>
      </c>
      <c r="G14" s="70" t="n">
        <v>80000</v>
      </c>
      <c r="H14" s="70" t="n">
        <v>100000</v>
      </c>
      <c r="I14" s="70" t="n">
        <v>100000</v>
      </c>
      <c r="J14" s="70" t="n">
        <v>100000</v>
      </c>
      <c r="K14" s="70" t="n">
        <v>200000</v>
      </c>
      <c r="L14" s="70" t="n">
        <v>200000</v>
      </c>
      <c r="M14" s="70" t="n">
        <v>250000</v>
      </c>
      <c r="N14" s="70" t="n">
        <v>300000</v>
      </c>
      <c r="O14" s="70" t="n">
        <v>350000</v>
      </c>
      <c r="P14" s="70" t="n">
        <v>400000</v>
      </c>
      <c r="Q14" s="70" t="n">
        <v>500000</v>
      </c>
      <c r="R14" s="70" t="n">
        <v>600000</v>
      </c>
      <c r="S14" s="70" t="n">
        <v>700000</v>
      </c>
    </row>
    <row r="15">
      <c r="A15" s="61" t="inlineStr">
        <is>
          <t>OPEX: офис/юр/прочее, ₽</t>
        </is>
      </c>
      <c r="B15" s="70" t="n">
        <v>5000</v>
      </c>
      <c r="C15" s="70" t="n">
        <v>5000</v>
      </c>
      <c r="D15" s="70" t="n">
        <v>5000</v>
      </c>
      <c r="E15" s="70" t="n">
        <v>5000</v>
      </c>
      <c r="F15" s="70" t="n">
        <v>5000</v>
      </c>
      <c r="G15" s="70" t="n">
        <v>5000</v>
      </c>
      <c r="H15" s="70" t="n">
        <v>5000</v>
      </c>
      <c r="I15" s="70" t="n">
        <v>5000</v>
      </c>
      <c r="J15" s="70" t="n">
        <v>10000</v>
      </c>
      <c r="K15" s="70" t="n">
        <v>10000</v>
      </c>
      <c r="L15" s="70" t="n">
        <v>10000</v>
      </c>
      <c r="M15" s="70" t="n">
        <v>10000</v>
      </c>
      <c r="N15" s="70" t="n">
        <v>10000</v>
      </c>
      <c r="O15" s="70" t="n">
        <v>10000</v>
      </c>
      <c r="P15" s="70" t="n">
        <v>20000</v>
      </c>
      <c r="Q15" s="70" t="n">
        <v>20000</v>
      </c>
      <c r="R15" s="70" t="n">
        <v>20000</v>
      </c>
      <c r="S15" s="70" t="n">
        <v>20000</v>
      </c>
    </row>
    <row r="16">
      <c r="A16" s="59" t="inlineStr">
        <is>
          <t>EBITDA, ₽</t>
        </is>
      </c>
      <c r="B16" s="82">
        <f>B12-B13-B14-B15</f>
        <v/>
      </c>
      <c r="C16" s="82">
        <f>C12-C13-C14-C15</f>
        <v/>
      </c>
      <c r="D16" s="82">
        <f>D12-D13-D14-D15</f>
        <v/>
      </c>
      <c r="E16" s="82">
        <f>E12-E13-E14-E15</f>
        <v/>
      </c>
      <c r="F16" s="82">
        <f>F12-F13-F14-F15</f>
        <v/>
      </c>
      <c r="G16" s="82">
        <f>G12-G13-G14-G15</f>
        <v/>
      </c>
      <c r="H16" s="82">
        <f>H12-H13-H14-H15</f>
        <v/>
      </c>
      <c r="I16" s="82">
        <f>I12-I13-I14-I15</f>
        <v/>
      </c>
      <c r="J16" s="82">
        <f>J12-J13-J14-J15</f>
        <v/>
      </c>
      <c r="K16" s="82">
        <f>K12-K13-K14-K15</f>
        <v/>
      </c>
      <c r="L16" s="82">
        <f>L12-L13-L14-L15</f>
        <v/>
      </c>
      <c r="M16" s="82">
        <f>M12-M13-M14-M15</f>
        <v/>
      </c>
      <c r="N16" s="82">
        <f>N12-N13-N14-N15</f>
        <v/>
      </c>
      <c r="O16" s="82">
        <f>O12-O13-O14-O15</f>
        <v/>
      </c>
      <c r="P16" s="82">
        <f>P12-P13-P14-P15</f>
        <v/>
      </c>
      <c r="Q16" s="82">
        <f>Q12-Q13-Q14-Q15</f>
        <v/>
      </c>
      <c r="R16" s="82">
        <f>R12-R13-R14-R15</f>
        <v/>
      </c>
      <c r="S16" s="82">
        <f>S12-S13-S14-S15</f>
        <v/>
      </c>
    </row>
    <row r="17">
      <c r="A17" s="59" t="inlineStr">
        <is>
          <t>Накопленный кэш (со старта 30к ₽), ₽</t>
        </is>
      </c>
      <c r="B17" s="81">
        <f>30000+B16</f>
        <v/>
      </c>
      <c r="C17" s="83">
        <f>B17+C16</f>
        <v/>
      </c>
      <c r="D17" s="83">
        <f>C17+D16</f>
        <v/>
      </c>
      <c r="E17" s="83">
        <f>D17+E16</f>
        <v/>
      </c>
      <c r="F17" s="83">
        <f>E17+F16</f>
        <v/>
      </c>
      <c r="G17" s="83">
        <f>F17+G16</f>
        <v/>
      </c>
      <c r="H17" s="83">
        <f>G17+H16</f>
        <v/>
      </c>
      <c r="I17" s="83">
        <f>H17+I16</f>
        <v/>
      </c>
      <c r="J17" s="83">
        <f>I17+J16</f>
        <v/>
      </c>
      <c r="K17" s="83">
        <f>J17+K16</f>
        <v/>
      </c>
      <c r="L17" s="83">
        <f>K17+L16</f>
        <v/>
      </c>
      <c r="M17" s="83">
        <f>L17+M16</f>
        <v/>
      </c>
      <c r="N17" s="83">
        <f>M17+N16</f>
        <v/>
      </c>
      <c r="O17" s="83">
        <f>N17+O16</f>
        <v/>
      </c>
      <c r="P17" s="83">
        <f>O17+P16</f>
        <v/>
      </c>
      <c r="Q17" s="83">
        <f>P17+Q16</f>
        <v/>
      </c>
      <c r="R17" s="83">
        <f>Q17+R16</f>
        <v/>
      </c>
      <c r="S17" s="83">
        <f>R17+S16</f>
        <v/>
      </c>
    </row>
    <row r="20">
      <c r="A20" s="65" t="inlineStr">
        <is>
          <t>SUMMARY</t>
        </is>
      </c>
    </row>
    <row r="21">
      <c r="A21" t="inlineStr">
        <is>
          <t>Накопленная выручка, ₽</t>
        </is>
      </c>
      <c r="B21" s="81">
        <f>SUM(B8:S8)</f>
        <v/>
      </c>
    </row>
    <row r="22">
      <c r="A22" s="59" t="inlineStr">
        <is>
          <t>Накопленная EBITDA, ₽</t>
        </is>
      </c>
      <c r="B22" s="84">
        <f>SUM(B16:S16)</f>
        <v/>
      </c>
    </row>
    <row r="23">
      <c r="A23" s="59" t="inlineStr">
        <is>
          <t>MRR на M18, ₽</t>
        </is>
      </c>
      <c r="B23" s="84">
        <f>S8</f>
        <v/>
      </c>
    </row>
    <row r="24">
      <c r="A24" s="59" t="inlineStr">
        <is>
          <t>ARR на M18, ₽</t>
        </is>
      </c>
      <c r="B24" s="84">
        <f>S8*12</f>
        <v/>
      </c>
    </row>
    <row r="25">
      <c r="A25" t="inlineStr">
        <is>
          <t>Платящих на M18</t>
        </is>
      </c>
      <c r="B25" s="85">
        <f>S6</f>
        <v/>
      </c>
    </row>
    <row r="26">
      <c r="A26" t="inlineStr">
        <is>
          <t>Месяц break-even MRR (когда EBITDA первый раз ≥ 0)</t>
        </is>
      </c>
      <c r="B26" t="inlineStr">
        <is>
          <t>M11–M12 (по плану)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28" customWidth="1" min="4" max="4"/>
    <col width="28" customWidth="1" min="5" max="5"/>
  </cols>
  <sheetData>
    <row r="1">
      <c r="A1" s="1" t="inlineStr">
        <is>
          <t>Omnia.AI — 16. Roadmap версий продукта</t>
        </is>
      </c>
    </row>
    <row r="2">
      <c r="A2" s="2" t="inlineStr">
        <is>
          <t>Версии продукта (v0.1 → v2.0): что появляется, для кого предназначено, KPI релиза.</t>
        </is>
      </c>
    </row>
    <row r="4">
      <c r="A4" s="15" t="inlineStr">
        <is>
          <t>Версия</t>
        </is>
      </c>
      <c r="B4" s="15" t="inlineStr">
        <is>
          <t>Срок</t>
        </is>
      </c>
      <c r="C4" s="15" t="inlineStr">
        <is>
          <t>Что появляется</t>
        </is>
      </c>
      <c r="D4" s="15" t="inlineStr">
        <is>
          <t>Кому впервые продаётся</t>
        </is>
      </c>
      <c r="E4" s="15" t="inlineStr">
        <is>
          <t>Главный KPI релиза</t>
        </is>
      </c>
    </row>
    <row r="5" ht="65" customHeight="1">
      <c r="A5" s="16" t="inlineStr">
        <is>
          <t>v0.1 — Internal alpha</t>
        </is>
      </c>
      <c r="B5" s="16" t="inlineStr">
        <is>
          <t>M3</t>
        </is>
      </c>
      <c r="C5" s="16" t="inlineStr">
        <is>
          <t>AI-чат + версионирование + 3 шаблона. Локальное превью без деплоя.</t>
        </is>
      </c>
      <c r="D5" s="16" t="inlineStr">
        <is>
          <t>Команда + 5–10 best friends</t>
        </is>
      </c>
      <c r="E5" s="16" t="inlineStr">
        <is>
          <t>Сгенерировать 1 рабочий лендинг через чат</t>
        </is>
      </c>
    </row>
    <row r="6" ht="65" customHeight="1">
      <c r="A6" s="17" t="inlineStr">
        <is>
          <t>v0.3 — Friends-and-family</t>
        </is>
      </c>
      <c r="B6" s="17" t="inlineStr">
        <is>
          <t>M5</t>
        </is>
      </c>
      <c r="C6" s="17" t="inlineStr">
        <is>
          <t>+ автодеплой на тестовый VPS, биллинг токенов, ЛК</t>
        </is>
      </c>
      <c r="D6" s="17" t="inlineStr">
        <is>
          <t>20 близких + waitlist отбор</t>
        </is>
      </c>
      <c r="E6" s="17" t="inlineStr">
        <is>
          <t>5 живых сайтов на нашем поддомене</t>
        </is>
      </c>
    </row>
    <row r="7" ht="65" customHeight="1">
      <c r="A7" s="16" t="inlineStr">
        <is>
          <t>v0.5 — Closed beta</t>
        </is>
      </c>
      <c r="B7" s="16" t="inlineStr">
        <is>
          <t>M7</t>
        </is>
      </c>
      <c r="C7" s="16" t="inlineStr">
        <is>
          <t>+ домены + SSL + базовый backend-кит</t>
        </is>
      </c>
      <c r="D7" s="16" t="inlineStr">
        <is>
          <t>50 платящих беттестеров (free 3 мес)</t>
        </is>
      </c>
      <c r="E7" s="16" t="inlineStr">
        <is>
          <t>Первый платный сайт на собственном домене</t>
        </is>
      </c>
    </row>
    <row r="8" ht="65" customHeight="1">
      <c r="A8" s="17" t="inlineStr">
        <is>
          <t>v0.8 — Open beta</t>
        </is>
      </c>
      <c r="B8" s="17" t="inlineStr">
        <is>
          <t>M9–M10</t>
        </is>
      </c>
      <c r="C8" s="17" t="inlineStr">
        <is>
          <t>+ интеграции (ЮKassa, формы), staging-окружение, рефералы</t>
        </is>
      </c>
      <c r="D8" s="17" t="inlineStr">
        <is>
          <t>Открытый доступ через ссылку, до 200 пользователей</t>
        </is>
      </c>
      <c r="E8" s="17" t="inlineStr">
        <is>
          <t>50 платящих, NPS ≥ 40</t>
        </is>
      </c>
    </row>
    <row r="9" ht="65" customHeight="1">
      <c r="A9" s="16" t="inlineStr">
        <is>
          <t>v1.0 — Public launch</t>
        </is>
      </c>
      <c r="B9" s="16" t="inlineStr">
        <is>
          <t>M12</t>
        </is>
      </c>
      <c r="C9" s="16" t="inlineStr">
        <is>
          <t>+ marketplace шаблонов начальный, GitHub-синк опц., экспорт zip</t>
        </is>
      </c>
      <c r="D9" s="16" t="inlineStr">
        <is>
          <t>Все 4 сегмента публично</t>
        </is>
      </c>
      <c r="E9" s="16" t="inlineStr">
        <is>
          <t>100 платящих, MRR ≥ 1М ₽</t>
        </is>
      </c>
    </row>
    <row r="10" ht="65" customHeight="1">
      <c r="A10" s="17" t="inlineStr">
        <is>
          <t>v1.5 — Growth</t>
        </is>
      </c>
      <c r="B10" s="17" t="inlineStr">
        <is>
          <t>M15</t>
        </is>
      </c>
      <c r="C10" s="17" t="inlineStr">
        <is>
          <t>+ AI backend-логика, side-by-side compare, forking версий, расширенные интеграции</t>
        </is>
      </c>
      <c r="D10" s="17" t="inlineStr">
        <is>
          <t>Стартапы и фрилансеры</t>
        </is>
      </c>
      <c r="E10" s="17" t="inlineStr">
        <is>
          <t>300 платящих, NDR ≥ 110%</t>
        </is>
      </c>
    </row>
    <row r="11" ht="65" customHeight="1">
      <c r="A11" s="16" t="inlineStr">
        <is>
          <t>v2.0 — Scale</t>
        </is>
      </c>
      <c r="B11" s="16" t="inlineStr">
        <is>
          <t>M18</t>
        </is>
      </c>
      <c r="C11" s="16" t="inlineStr">
        <is>
          <t>+ White-label для агентств, B2B2C партнёрский кабинет, мобильные приложения через тот же чат</t>
        </is>
      </c>
      <c r="D11" s="16" t="inlineStr">
        <is>
          <t>Агентства как канал продаж</t>
        </is>
      </c>
      <c r="E11" s="16" t="inlineStr">
        <is>
          <t>700+ платящих, MRR ≥ 7М ₽</t>
        </is>
      </c>
    </row>
    <row r="14">
      <c r="A14" s="3" t="inlineStr">
        <is>
          <t>ПРИНЦИПЫ РЕЛИЗОВ</t>
        </is>
      </c>
    </row>
    <row r="15">
      <c r="A15" s="11" t="inlineStr">
        <is>
          <t>• Каждый релиз закрывает одну боль одного сегмента — не пытаемся "удовлетворить всех"</t>
        </is>
      </c>
    </row>
    <row r="16">
      <c r="A16" s="11" t="inlineStr">
        <is>
          <t>• Между релизами — обязательный 2-недельный feedback loop с пользователями</t>
        </is>
      </c>
    </row>
    <row r="17">
      <c r="A17" s="11" t="inlineStr">
        <is>
          <t>• Не релизим без NPS-замера и анализа churn-причин предыдущего релиза</t>
        </is>
      </c>
    </row>
    <row r="18">
      <c r="A18" s="11" t="inlineStr">
        <is>
          <t>• Бэкап-план: если релиз не достигает KPI — две недели на патч, потом разбор причин (root cause), не следующий релиз</t>
        </is>
      </c>
    </row>
    <row r="19">
      <c r="A19" s="11" t="inlineStr">
        <is>
          <t>• Все релизы — feature flags. Откат отдельной фичи без релиза</t>
        </is>
      </c>
    </row>
  </sheetData>
  <mergeCells count="6">
    <mergeCell ref="A16:E16"/>
    <mergeCell ref="A15:E15"/>
    <mergeCell ref="A19:E19"/>
    <mergeCell ref="A14:E14"/>
    <mergeCell ref="A17:E17"/>
    <mergeCell ref="A18:E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30" customWidth="1" min="3" max="3"/>
    <col width="30" customWidth="1" min="4" max="4"/>
  </cols>
  <sheetData>
    <row r="1">
      <c r="A1" s="1" t="inlineStr">
        <is>
          <t>Omnia.AI — 17. Тех.архитектура &amp; стек</t>
        </is>
      </c>
    </row>
    <row r="2">
      <c r="A2" s="2" t="inlineStr">
        <is>
          <t>Pipeline визуального версионирования, vertical integration, рекомендуемый стек, безопасность auto-deploy.</t>
        </is>
      </c>
    </row>
    <row r="4">
      <c r="A4" s="3" t="inlineStr">
        <is>
          <t>PIPELINE ВИЗУАЛЬНОГО ВЕРСИОНИРОВАНИЯ (главная фича)</t>
        </is>
      </c>
    </row>
    <row r="5">
      <c r="A5" s="15" t="inlineStr">
        <is>
          <t>Шаг</t>
        </is>
      </c>
      <c r="B5" s="15" t="inlineStr">
        <is>
          <t>Что происходит</t>
        </is>
      </c>
      <c r="C5" s="15" t="inlineStr">
        <is>
          <t>Где / технология</t>
        </is>
      </c>
      <c r="D5" s="15" t="inlineStr">
        <is>
          <t>Время</t>
        </is>
      </c>
    </row>
    <row r="6" ht="35" customHeight="1">
      <c r="A6" s="16" t="inlineStr">
        <is>
          <t>1</t>
        </is>
      </c>
      <c r="B6" s="16" t="inlineStr">
        <is>
          <t>User вводит промпт</t>
        </is>
      </c>
      <c r="C6" s="16" t="inlineStr">
        <is>
          <t>Frontend: React + WebSocket</t>
        </is>
      </c>
      <c r="D6" s="16" t="inlineStr">
        <is>
          <t>мгновенно</t>
        </is>
      </c>
    </row>
    <row r="7" ht="35" customHeight="1">
      <c r="A7" s="17" t="inlineStr">
        <is>
          <t>2</t>
        </is>
      </c>
      <c r="B7" s="17" t="inlineStr">
        <is>
          <t>AI генерирует diff (изменения в коде проекта)</t>
        </is>
      </c>
      <c r="C7" s="17" t="inlineStr">
        <is>
          <t>LLM-proxy gateway → выбранная модель</t>
        </is>
      </c>
      <c r="D7" s="17" t="inlineStr">
        <is>
          <t>5-30 сек</t>
        </is>
      </c>
    </row>
    <row r="8" ht="35" customHeight="1">
      <c r="A8" s="16" t="inlineStr">
        <is>
          <t>3</t>
        </is>
      </c>
      <c r="B8" s="16" t="inlineStr">
        <is>
          <t>Backend применяет diff к проекту</t>
        </is>
      </c>
      <c r="C8" s="16" t="inlineStr">
        <is>
          <t>FastAPI/Node + libgit2/pygit2</t>
        </is>
      </c>
      <c r="D8" s="16" t="inlineStr">
        <is>
          <t>&lt; 100 мс</t>
        </is>
      </c>
    </row>
    <row r="9" ht="35" customHeight="1">
      <c r="A9" s="17" t="inlineStr">
        <is>
          <t>4</t>
        </is>
      </c>
      <c r="B9" s="17" t="inlineStr">
        <is>
          <t>Создаётся git-commit с метаданными промпта</t>
        </is>
      </c>
      <c r="C9" s="17" t="inlineStr">
        <is>
          <t>Свой git-репо проекта в MinIO</t>
        </is>
      </c>
      <c r="D9" s="17" t="inlineStr">
        <is>
          <t>&lt; 100 мс</t>
        </is>
      </c>
    </row>
    <row r="10" ht="35" customHeight="1">
      <c r="A10" s="16" t="inlineStr">
        <is>
          <t>5</t>
        </is>
      </c>
      <c r="B10" s="16" t="inlineStr">
        <is>
          <t>Метаданные snapshot → Postgres (id, prompt, tokens, parent_commit, created_at)</t>
        </is>
      </c>
      <c r="C10" s="16" t="inlineStr">
        <is>
          <t>PostgreSQL</t>
        </is>
      </c>
      <c r="D10" s="16" t="inlineStr">
        <is>
          <t>&lt; 50 мс</t>
        </is>
      </c>
    </row>
    <row r="11" ht="35" customHeight="1">
      <c r="A11" s="17" t="inlineStr">
        <is>
          <t>6</t>
        </is>
      </c>
      <c r="B11" s="17" t="inlineStr">
        <is>
          <t>Async задача: render preview screenshot текущего состояния</t>
        </is>
      </c>
      <c r="C11" s="17" t="inlineStr">
        <is>
          <t>Playwright + headless Chromium в Docker / RQ-очередь</t>
        </is>
      </c>
      <c r="D11" s="17" t="inlineStr">
        <is>
          <t>2-5 сек</t>
        </is>
      </c>
    </row>
    <row r="12" ht="35" customHeight="1">
      <c r="A12" s="16" t="inlineStr">
        <is>
          <t>7</t>
        </is>
      </c>
      <c r="B12" s="16" t="inlineStr">
        <is>
          <t>PNG превью загружается в S3</t>
        </is>
      </c>
      <c r="C12" s="16" t="inlineStr">
        <is>
          <t>MinIO (наш контур через Serverum)</t>
        </is>
      </c>
      <c r="D12" s="16" t="inlineStr">
        <is>
          <t>&lt; 1 сек</t>
        </is>
      </c>
    </row>
    <row r="13" ht="35" customHeight="1">
      <c r="A13" s="17" t="inlineStr">
        <is>
          <t>8</t>
        </is>
      </c>
      <c r="B13" s="17" t="inlineStr">
        <is>
          <t>UI получает snapshot в ленте версий</t>
        </is>
      </c>
      <c r="C13" s="17" t="inlineStr">
        <is>
          <t>Frontend подписан через WebSocket</t>
        </is>
      </c>
      <c r="D13" s="17" t="inlineStr">
        <is>
          <t>мгновенно</t>
        </is>
      </c>
    </row>
    <row r="16">
      <c r="A16" s="3" t="inlineStr">
        <is>
          <t>ОТКАТ К ВЕРСИИ (1 клик в UI)</t>
        </is>
      </c>
    </row>
    <row r="17">
      <c r="A17" s="15" t="inlineStr">
        <is>
          <t>Шаг</t>
        </is>
      </c>
      <c r="B17" s="15" t="inlineStr">
        <is>
          <t>Что происходит</t>
        </is>
      </c>
      <c r="C17" s="15" t="inlineStr">
        <is>
          <t>Зачем</t>
        </is>
      </c>
      <c r="D17" s="15" t="inlineStr">
        <is>
          <t>Технология</t>
        </is>
      </c>
    </row>
    <row r="18" ht="35" customHeight="1">
      <c r="A18" s="16" t="inlineStr">
        <is>
          <t>1</t>
        </is>
      </c>
      <c r="B18" s="16" t="inlineStr">
        <is>
          <t>Создаём snapshot текущего состояния перед откатом</t>
        </is>
      </c>
      <c r="C18" s="16" t="inlineStr">
        <is>
          <t>Safety net — чтобы можно было вернуться обратно</t>
        </is>
      </c>
      <c r="D18" s="16" t="inlineStr">
        <is>
          <t>git commit "Before rollback to v42"</t>
        </is>
      </c>
    </row>
    <row r="19" ht="35" customHeight="1">
      <c r="A19" s="17" t="inlineStr">
        <is>
          <t>2</t>
        </is>
      </c>
      <c r="B19" s="17" t="inlineStr">
        <is>
          <t>git reset --hard &lt;target_commit&gt;</t>
        </is>
      </c>
      <c r="C19" s="17" t="inlineStr">
        <is>
          <t>Откат на нужную версию</t>
        </is>
      </c>
      <c r="D19" s="17" t="inlineStr">
        <is>
          <t>libgit2</t>
        </is>
      </c>
    </row>
    <row r="20" ht="35" customHeight="1">
      <c r="A20" s="16" t="inlineStr">
        <is>
          <t>3</t>
        </is>
      </c>
      <c r="B20" s="16" t="inlineStr">
        <is>
          <t>Redeploy preview на текущий поддомен пользователя</t>
        </is>
      </c>
      <c r="C20" s="16" t="inlineStr">
        <is>
          <t>Чтобы клиент сразу увидел старую версию</t>
        </is>
      </c>
      <c r="D20" s="16" t="inlineStr">
        <is>
          <t>Auto-deploy агент</t>
        </is>
      </c>
    </row>
    <row r="21" ht="35" customHeight="1">
      <c r="A21" s="17" t="inlineStr">
        <is>
          <t>4</t>
        </is>
      </c>
      <c r="B21" s="17" t="inlineStr">
        <is>
          <t>UI обновляет ленту версий, отмечает активный snapshot</t>
        </is>
      </c>
      <c r="C21" s="17" t="inlineStr">
        <is>
          <t>Визуальная связность</t>
        </is>
      </c>
      <c r="D21" s="17" t="inlineStr">
        <is>
          <t>WebSocket push</t>
        </is>
      </c>
    </row>
    <row r="22" ht="35" customHeight="1">
      <c r="A22" s="16" t="inlineStr">
        <is>
          <t>Опц.</t>
        </is>
      </c>
      <c r="B22" s="16" t="inlineStr">
        <is>
          <t>Forking — откат + параллельная ветка</t>
        </is>
      </c>
      <c r="C22" s="16" t="inlineStr">
        <is>
          <t>Эксперименты без потери</t>
        </is>
      </c>
      <c r="D22" s="16" t="inlineStr">
        <is>
          <t>git branch</t>
        </is>
      </c>
    </row>
    <row r="25">
      <c r="A25" s="3" t="inlineStr">
        <is>
          <t>VERTICAL INTEGRATION — слои стека (всё на нашей платформе)</t>
        </is>
      </c>
    </row>
    <row r="26">
      <c r="A26" s="15" t="inlineStr">
        <is>
          <t>Слой</t>
        </is>
      </c>
      <c r="B26" s="15" t="inlineStr">
        <is>
          <t>У конкурентов</t>
        </is>
      </c>
      <c r="C26" s="15" t="inlineStr">
        <is>
          <t>У Omnia.AI</t>
        </is>
      </c>
      <c r="D26" s="15" t="inlineStr">
        <is>
          <t>Что нам это даёт</t>
        </is>
      </c>
    </row>
    <row r="27" ht="45" customHeight="1">
      <c r="A27" s="16" t="inlineStr">
        <is>
          <t>LLM-вызовы</t>
        </is>
      </c>
      <c r="B27" s="16" t="inlineStr">
        <is>
          <t>Клиент → напрямую к Anthropic/OpenAI</t>
        </is>
      </c>
      <c r="C27" s="16" t="inlineStr">
        <is>
          <t>Клиент → НАШ LLM-proxy gateway → провайдер</t>
        </is>
      </c>
      <c r="D27" s="16" t="inlineStr">
        <is>
          <t>Кеш промптов, биллинг, метрики, переключение провайдера без участия клиента</t>
        </is>
      </c>
    </row>
    <row r="28" ht="45" customHeight="1">
      <c r="A28" s="17" t="inlineStr">
        <is>
          <t>IDE / редактор</t>
        </is>
      </c>
      <c r="B28" s="17" t="inlineStr">
        <is>
          <t>StackBlitz/CodeSandbox iframe</t>
        </is>
      </c>
      <c r="C28" s="17" t="inlineStr">
        <is>
          <t>Свой редактор + Playwright preview</t>
        </is>
      </c>
      <c r="D28" s="17" t="inlineStr">
        <is>
          <t>Полный контроль UX, не зависим от vendor</t>
        </is>
      </c>
    </row>
    <row r="29" ht="45" customHeight="1">
      <c r="A29" s="16" t="inlineStr">
        <is>
          <t>Хранение кода</t>
        </is>
      </c>
      <c r="B29" s="16" t="inlineStr">
        <is>
          <t>GitHub</t>
        </is>
      </c>
      <c r="C29" s="16" t="inlineStr">
        <is>
          <t>Свой git в MinIO (наш контур)</t>
        </is>
      </c>
      <c r="D29" s="16" t="inlineStr">
        <is>
          <t>Версионирование = наш функционал, не GitHub-feature</t>
        </is>
      </c>
    </row>
    <row r="30" ht="45" customHeight="1">
      <c r="A30" s="17" t="inlineStr">
        <is>
          <t>Сборка / билд</t>
        </is>
      </c>
      <c r="B30" s="17" t="inlineStr">
        <is>
          <t>Vercel build, Netlify</t>
        </is>
      </c>
      <c r="C30" s="17" t="inlineStr">
        <is>
          <t>Свой Docker-builder</t>
        </is>
      </c>
      <c r="D30" s="17" t="inlineStr">
        <is>
          <t>Свобода стека, нет vendor lock</t>
        </is>
      </c>
    </row>
    <row r="31" ht="45" customHeight="1">
      <c r="A31" s="16" t="inlineStr">
        <is>
          <t>Деплой</t>
        </is>
      </c>
      <c r="B31" s="16" t="inlineStr">
        <is>
          <t>Vercel/Netlify edge</t>
        </is>
      </c>
      <c r="C31" s="16" t="inlineStr">
        <is>
          <t>Серверы SafeCloud / CORTEL</t>
        </is>
      </c>
      <c r="D31" s="16" t="inlineStr">
        <is>
          <t>Контроль маржи, рублёвый прайсинг</t>
        </is>
      </c>
    </row>
    <row r="32" ht="45" customHeight="1">
      <c r="A32" s="17" t="inlineStr">
        <is>
          <t>Регистрация доменов</t>
        </is>
      </c>
      <c r="B32" s="17" t="inlineStr">
        <is>
          <t>Отдельный регистратор</t>
        </is>
      </c>
      <c r="C32" s="17" t="inlineStr">
        <is>
          <t>Через наш UI (Reg.ru API)</t>
        </is>
      </c>
      <c r="D32" s="17" t="inlineStr">
        <is>
          <t>Один счёт для клиента, доп. revenue</t>
        </is>
      </c>
    </row>
    <row r="33" ht="45" customHeight="1">
      <c r="A33" s="16" t="inlineStr">
        <is>
          <t>SSL</t>
        </is>
      </c>
      <c r="B33" s="16" t="inlineStr">
        <is>
          <t>Вручную или Cloudflare</t>
        </is>
      </c>
      <c r="C33" s="16" t="inlineStr">
        <is>
          <t>Let's Encrypt автоматом в нашем агенте</t>
        </is>
      </c>
      <c r="D33" s="16" t="inlineStr">
        <is>
          <t>UX: ноль действий клиента</t>
        </is>
      </c>
    </row>
    <row r="34" ht="45" customHeight="1">
      <c r="A34" s="17" t="inlineStr">
        <is>
          <t>Биллинг</t>
        </is>
      </c>
      <c r="B34" s="17" t="inlineStr">
        <is>
          <t>Stripe (отдельно от хостинга/AI)</t>
        </is>
      </c>
      <c r="C34" s="17" t="inlineStr">
        <is>
          <t>НАШ кошелёк через ЮKassa</t>
        </is>
      </c>
      <c r="D34" s="17" t="inlineStr">
        <is>
          <t>Один счёт, рубли, контроль чёрнинга</t>
        </is>
      </c>
    </row>
    <row r="35" ht="45" customHeight="1">
      <c r="A35" s="16" t="inlineStr">
        <is>
          <t>Мониторинг проектов клиентов</t>
        </is>
      </c>
      <c r="B35" s="16" t="inlineStr">
        <is>
          <t>Vercel Analytics, GA</t>
        </is>
      </c>
      <c r="C35" s="16" t="inlineStr">
        <is>
          <t>Свой</t>
        </is>
      </c>
      <c r="D35" s="16" t="inlineStr">
        <is>
          <t>Не утекают данные третьим, доп. value</t>
        </is>
      </c>
    </row>
    <row r="36" ht="45" customHeight="1">
      <c r="A36" s="17" t="inlineStr">
        <is>
          <t>Поддержка</t>
        </is>
      </c>
      <c r="B36" s="17" t="inlineStr">
        <is>
          <t>Discord/email разных сервисов</t>
        </is>
      </c>
      <c r="C36" s="17" t="inlineStr">
        <is>
          <t>Один чат + тикеты Omnia.AI</t>
        </is>
      </c>
      <c r="D36" s="17" t="inlineStr">
        <is>
          <t>NPS, скорость ответа, lock-in</t>
        </is>
      </c>
    </row>
    <row r="39">
      <c r="A39" s="3" t="inlineStr">
        <is>
          <t>РЕКОМЕНДУЕМЫЙ СТЕК РЕАЛИЗАЦИИ</t>
        </is>
      </c>
    </row>
    <row r="40">
      <c r="A40" s="15" t="inlineStr">
        <is>
          <t>Компонент</t>
        </is>
      </c>
      <c r="B40" s="15" t="inlineStr">
        <is>
          <t>Основной выбор</t>
        </is>
      </c>
      <c r="C40" s="15" t="inlineStr">
        <is>
          <t>Альтернатива</t>
        </is>
      </c>
      <c r="D40" s="15" t="inlineStr">
        <is>
          <t>Обоснование</t>
        </is>
      </c>
    </row>
    <row r="41" ht="35" customHeight="1">
      <c r="A41" s="16" t="inlineStr">
        <is>
          <t>Backend API</t>
        </is>
      </c>
      <c r="B41" s="16" t="inlineStr">
        <is>
          <t>FastAPI (Python) или Node.js + Fastify</t>
        </is>
      </c>
      <c r="C41" s="16" t="inlineStr">
        <is>
          <t>Go (Gin)</t>
        </is>
      </c>
      <c r="D41" s="16" t="inlineStr">
        <is>
          <t>FastAPI — быстрая разработка, типизация. Node — экосистема git-libs.</t>
        </is>
      </c>
    </row>
    <row r="42" ht="35" customHeight="1">
      <c r="A42" s="17" t="inlineStr">
        <is>
          <t>Git-операции</t>
        </is>
      </c>
      <c r="B42" s="17" t="inlineStr">
        <is>
          <t>pygit2 (Python) или isomorphic-git (Node)</t>
        </is>
      </c>
      <c r="C42" s="17" t="inlineStr">
        <is>
          <t>Shell git вызовы (медленнее)</t>
        </is>
      </c>
      <c r="D42" s="17" t="inlineStr">
        <is>
          <t>libgit2 даёт скорость и in-process работу</t>
        </is>
      </c>
    </row>
    <row r="43" ht="35" customHeight="1">
      <c r="A43" s="16" t="inlineStr">
        <is>
          <t>Object Storage</t>
        </is>
      </c>
      <c r="B43" s="16" t="inlineStr">
        <is>
          <t>MinIO (self-hosted)</t>
        </is>
      </c>
      <c r="C43" s="16" t="inlineStr">
        <is>
          <t>S3-compatible через Serverum.ru</t>
        </is>
      </c>
      <c r="D43" s="16" t="inlineStr">
        <is>
          <t>Контроль данных, отсутствие vendor lock</t>
        </is>
      </c>
    </row>
    <row r="44" ht="35" customHeight="1">
      <c r="A44" s="17" t="inlineStr">
        <is>
          <t>Метаданные</t>
        </is>
      </c>
      <c r="B44" s="17" t="inlineStr">
        <is>
          <t>PostgreSQL 16+</t>
        </is>
      </c>
      <c r="C44" s="17" t="inlineStr">
        <is>
          <t>—</t>
        </is>
      </c>
      <c r="D44" s="17" t="inlineStr">
        <is>
          <t>Стандарт, надёжно, JSON-полей достаточно</t>
        </is>
      </c>
    </row>
    <row r="45" ht="35" customHeight="1">
      <c r="A45" s="16" t="inlineStr">
        <is>
          <t>Очередь задач</t>
        </is>
      </c>
      <c r="B45" s="16" t="inlineStr">
        <is>
          <t>Redis Queue (Python) или BullMQ (Node)</t>
        </is>
      </c>
      <c r="C45" s="16" t="inlineStr">
        <is>
          <t>Celery, Sidekiq</t>
        </is>
      </c>
      <c r="D45" s="16" t="inlineStr">
        <is>
          <t>Простота, не нужен Kafka на этой стадии</t>
        </is>
      </c>
    </row>
    <row r="46" ht="35" customHeight="1">
      <c r="A46" s="17" t="inlineStr">
        <is>
          <t>Preview-renderer</t>
        </is>
      </c>
      <c r="B46" s="17" t="inlineStr">
        <is>
          <t>Playwright + Chromium в Docker</t>
        </is>
      </c>
      <c r="C46" s="17" t="inlineStr">
        <is>
          <t>Puppeteer</t>
        </is>
      </c>
      <c r="D46" s="17" t="inlineStr">
        <is>
          <t>Async, изолировано</t>
        </is>
      </c>
    </row>
    <row r="47" ht="35" customHeight="1">
      <c r="A47" s="16" t="inlineStr">
        <is>
          <t>LLM-proxy</t>
        </is>
      </c>
      <c r="B47" s="16" t="inlineStr">
        <is>
          <t>Своя обёртка с OpenAI-compatible API</t>
        </is>
      </c>
      <c r="C47" s="16" t="inlineStr">
        <is>
          <t>LiteLLM (open-source) как старт</t>
        </is>
      </c>
      <c r="D47" s="16" t="inlineStr">
        <is>
          <t>LiteLLM ускорит MVP, потом свой контроль</t>
        </is>
      </c>
    </row>
    <row r="48" ht="35" customHeight="1">
      <c r="A48" s="17" t="inlineStr">
        <is>
          <t>Frontend</t>
        </is>
      </c>
      <c r="B48" s="17" t="inlineStr">
        <is>
          <t>Next.js 15 + React 19 + framer-motion</t>
        </is>
      </c>
      <c r="C48" s="17" t="inlineStr">
        <is>
          <t>Vite + React, SvelteKit</t>
        </is>
      </c>
      <c r="D48" s="17" t="inlineStr">
        <is>
          <t>Next.js — экосистема + SSR + наша экспертиза</t>
        </is>
      </c>
    </row>
    <row r="49" ht="35" customHeight="1">
      <c r="A49" s="16" t="inlineStr">
        <is>
          <t>UI-kit</t>
        </is>
      </c>
      <c r="B49" s="16" t="inlineStr">
        <is>
          <t>shadcn/ui + Tailwind</t>
        </is>
      </c>
      <c r="C49" s="16" t="inlineStr">
        <is>
          <t>Mantine, Chakra</t>
        </is>
      </c>
      <c r="D49" s="16" t="inlineStr">
        <is>
          <t>Гибкость, не "коробочный" вид</t>
        </is>
      </c>
    </row>
    <row r="50" ht="35" customHeight="1">
      <c r="A50" s="17" t="inlineStr">
        <is>
          <t>Auth</t>
        </is>
      </c>
      <c r="B50" s="17" t="inlineStr">
        <is>
          <t>Auth.js (NextAuth) с JWT</t>
        </is>
      </c>
      <c r="C50" s="17" t="inlineStr">
        <is>
          <t>Clerk, Supabase Auth</t>
        </is>
      </c>
      <c r="D50" s="17" t="inlineStr">
        <is>
          <t>Контроль данных в нашем контуре</t>
        </is>
      </c>
    </row>
    <row r="51" ht="35" customHeight="1">
      <c r="A51" s="16" t="inlineStr">
        <is>
          <t>Платежи</t>
        </is>
      </c>
      <c r="B51" s="16" t="inlineStr">
        <is>
          <t>ЮKassa SDK + Tinkoff</t>
        </is>
      </c>
      <c r="C51" s="16" t="inlineStr">
        <is>
          <t>CloudPayments</t>
        </is>
      </c>
      <c r="D51" s="16" t="inlineStr">
        <is>
          <t>РФ-стандарт, рекуррентные платежи</t>
        </is>
      </c>
    </row>
    <row r="52" ht="35" customHeight="1">
      <c r="A52" s="17" t="inlineStr">
        <is>
          <t>Деплой инфра</t>
        </is>
      </c>
      <c r="B52" s="17" t="inlineStr">
        <is>
          <t>Docker + Ansible на VPS Serverum</t>
        </is>
      </c>
      <c r="C52" s="17" t="inlineStr">
        <is>
          <t>Kubernetes (когда вырастем)</t>
        </is>
      </c>
      <c r="D52" s="17" t="inlineStr">
        <is>
          <t>K8s избыточен на старте</t>
        </is>
      </c>
    </row>
    <row r="53" ht="35" customHeight="1">
      <c r="A53" s="16" t="inlineStr">
        <is>
          <t>Мониторинг</t>
        </is>
      </c>
      <c r="B53" s="16" t="inlineStr">
        <is>
          <t>Prometheus + Grafana + Loki</t>
        </is>
      </c>
      <c r="C53" s="16" t="inlineStr">
        <is>
          <t>Datadog (платно)</t>
        </is>
      </c>
      <c r="D53" s="16" t="inlineStr">
        <is>
          <t>Self-hosted, экономия на старте</t>
        </is>
      </c>
    </row>
    <row r="54" ht="35" customHeight="1">
      <c r="A54" s="17" t="inlineStr">
        <is>
          <t>CI/CD</t>
        </is>
      </c>
      <c r="B54" s="17" t="inlineStr">
        <is>
          <t>GitHub Actions + ручные деплои поначалу</t>
        </is>
      </c>
      <c r="C54" s="17" t="inlineStr">
        <is>
          <t>GitLab CI, Drone</t>
        </is>
      </c>
      <c r="D54" s="17" t="inlineStr">
        <is>
          <t>Стандарт, бесплатно для приватных репо</t>
        </is>
      </c>
    </row>
    <row r="57">
      <c r="A57" s="3" t="inlineStr">
        <is>
          <t>LLM-СТРАТЕГИЯ ПОДКЛЮЧЕНИЯ (фазы M1→M18, реальные цены 2026)</t>
        </is>
      </c>
    </row>
    <row r="58">
      <c r="A58" s="15" t="inlineStr">
        <is>
          <t>Фаза / месяц</t>
        </is>
      </c>
      <c r="B58" s="15" t="inlineStr">
        <is>
          <t>Архитектура</t>
        </is>
      </c>
      <c r="C58" s="15" t="inlineStr">
        <is>
          <t>Провайдеры</t>
        </is>
      </c>
      <c r="D58" s="15" t="inlineStr">
        <is>
          <t>Почему / экономия</t>
        </is>
      </c>
    </row>
    <row r="59" ht="65" customHeight="1">
      <c r="A59" s="16" t="inlineStr">
        <is>
          <t>Phase 1: M1-M3 (MVP)</t>
        </is>
      </c>
      <c r="B59" s="16" t="inlineStr">
        <is>
          <t>LiteLLM (open-source) self-hosted как proxy. Один API клиента → роутинг по моделям.</t>
        </is>
      </c>
      <c r="C59" s="16" t="inlineStr">
        <is>
          <t>DeepSeek V3.2 ($0.28/$0.42) + Claude Haiku 4.5 ($1/$5) + Gemini 2.5 Flash ($0.30/$2.50)</t>
        </is>
      </c>
      <c r="D59" s="16" t="inlineStr">
        <is>
          <t>Самые дешёвые с хорошим качеством. DeepSeek основа (~$0.35/М) — в 30x дешевле Sonnet, но вытягивает 80% задач code-gen. LiteLLM = ноль кода до MVP, поддерживает 100+ моделей.</t>
        </is>
      </c>
    </row>
    <row r="60" ht="65" customHeight="1">
      <c r="A60" s="17" t="inlineStr">
        <is>
          <t>Phase 2: M4-M6 (бета)</t>
        </is>
      </c>
      <c r="B60" s="17" t="inlineStr">
        <is>
          <t>+ Claude Sonnet 4.6 для премиум-задач. Кеш промптов (Anthropic prompt caching → -90% input).</t>
        </is>
      </c>
      <c r="C60" s="17" t="inlineStr">
        <is>
          <t>+ Anthropic Sonnet 4.6 ($3/$15), + GPT-4.1 ($2/$8) как backup</t>
        </is>
      </c>
      <c r="D60" s="17" t="inlineStr">
        <is>
          <t>Premium-tier клиенты получают доступ к Sonnet. Кеш системных промптов экономит ~70% input-токенов на повторяющихся шаблонах.</t>
        </is>
      </c>
    </row>
    <row r="61" ht="65" customHeight="1">
      <c r="A61" s="16" t="inlineStr">
        <is>
          <t>Phase 3: M7-M9 (soft launch)</t>
        </is>
      </c>
      <c r="B61" s="16" t="inlineStr">
        <is>
          <t>+ Прямые контракты с YandexGPT API (ПДн в РФ) и GigaChat API (Сбер). Pay-as-you-go.</t>
        </is>
      </c>
      <c r="C61" s="16" t="inlineStr">
        <is>
          <t>+ YandexGPT 5 Pro (~₽1200/М), + GigaChat 2 Pro (₽500/1М, синхр.)</t>
        </is>
      </c>
      <c r="D61" s="16" t="inlineStr">
        <is>
          <t>Готовность к 152-ФЗ для enterprise-клиентов. YandexGPT даёт 1М ₽ депозит на старт. GigaChat снизил цены на 67% в фев 2026.</t>
        </is>
      </c>
    </row>
    <row r="62" ht="65" customHeight="1">
      <c r="A62" s="17" t="inlineStr">
        <is>
          <t>Phase 4: M10-M12 (public)</t>
        </is>
      </c>
      <c r="B62" s="17" t="inlineStr">
        <is>
          <t>Свой LLM-proxy gateway (Go/Python) поверх LiteLLM. Smart-routing: автовыбор по задаче+бюджету.</t>
        </is>
      </c>
      <c r="C62" s="17" t="inlineStr">
        <is>
          <t>Все вышеперечисленные + DeepSeek V4 ($0.30/$0.50, 1М context)</t>
        </is>
      </c>
      <c r="D62" s="17" t="inlineStr">
        <is>
          <t>Smart-routing экономит 30-40% за счёт автодаунгрейда простых задач на DeepSeek/Gemini Flash. Свой proxy = контроль метрик, биллинга, отказоустойчивости.</t>
        </is>
      </c>
    </row>
    <row r="63" ht="65" customHeight="1">
      <c r="A63" s="16" t="inlineStr">
        <is>
          <t>Phase 5: M13-M18 (scale)</t>
        </is>
      </c>
      <c r="B63" s="16" t="inlineStr">
        <is>
          <t>Self-hosted Qwen 3 235B на GPU-сервере (1× A100 80Gb или 2× RTX 4090). Безопасный fallback.</t>
        </is>
      </c>
      <c r="C63" s="16" t="inlineStr">
        <is>
          <t>+ Qwen 3 235B Instruct (Apache 2.0) — нулевой API-cost</t>
        </is>
      </c>
      <c r="D63" s="16" t="inlineStr">
        <is>
          <t>Independence от любого внешнего провайдера. Стоимость GPU ~120к ₽/мес vs API экономия ~200к/мес при 100+ клиентах. Готовность к ограничениям РФ.</t>
        </is>
      </c>
    </row>
    <row r="64" ht="65" customHeight="1">
      <c r="A64" s="17" t="inlineStr">
        <is>
          <t>OpenRouter (НЕ выбран)</t>
        </is>
      </c>
      <c r="B64" s="17" t="inlineStr">
        <is>
          <t>Альтернатива: OpenRouter как единая точка → 290+ моделей через один ключ.</t>
        </is>
      </c>
      <c r="C64" s="17" t="inlineStr">
        <is>
          <t>Все модели + 5.5% fee на пополнения</t>
        </is>
      </c>
      <c r="D64" s="17" t="inlineStr">
        <is>
          <t>Минусы: 5.5% fee + min $0.80/транзакция = ~₽45-100к/мес доп. расход на нашем объёме. Свой LiteLLM-стек проще и дешевле — выбран как основной путь.</t>
        </is>
      </c>
    </row>
    <row r="67">
      <c r="A67" s="3" t="inlineStr">
        <is>
          <t>СРАВНЕНИЕ COGS НА КЛИЕНТА (5М токенов/мес) — почему mix важен</t>
        </is>
      </c>
    </row>
    <row r="68">
      <c r="A68" s="15" t="inlineStr">
        <is>
          <t>Сценарий</t>
        </is>
      </c>
      <c r="B68" s="15" t="inlineStr">
        <is>
          <t>Себестоимость 5М токенов</t>
        </is>
      </c>
      <c r="C68" s="15" t="inlineStr">
        <is>
          <t>Цена клиенту (markup 2.8x)</t>
        </is>
      </c>
      <c r="D68" s="15" t="inlineStr">
        <is>
          <t>Маржа на токенах</t>
        </is>
      </c>
    </row>
    <row r="69" ht="30" customHeight="1">
      <c r="A69" s="16" t="inlineStr">
        <is>
          <t>Только Claude Sonnet 4.6 (наивно)</t>
        </is>
      </c>
      <c r="B69" s="16" t="inlineStr">
        <is>
          <t>~₽4 500</t>
        </is>
      </c>
      <c r="C69" s="16" t="inlineStr">
        <is>
          <t>~₽12 600</t>
        </is>
      </c>
      <c r="D69" s="16" t="inlineStr">
        <is>
          <t>64%</t>
        </is>
      </c>
    </row>
    <row r="70" ht="30" customHeight="1">
      <c r="A70" s="17" t="inlineStr">
        <is>
          <t>Только GPT-4.1 (наивно)</t>
        </is>
      </c>
      <c r="B70" s="17" t="inlineStr">
        <is>
          <t>~₽2 500</t>
        </is>
      </c>
      <c r="C70" s="17" t="inlineStr">
        <is>
          <t>~₽7 000</t>
        </is>
      </c>
      <c r="D70" s="17" t="inlineStr">
        <is>
          <t>64%</t>
        </is>
      </c>
    </row>
    <row r="71" ht="30" customHeight="1">
      <c r="A71" s="16" t="inlineStr">
        <is>
          <t>Только Claude Haiku 4.5</t>
        </is>
      </c>
      <c r="B71" s="16" t="inlineStr">
        <is>
          <t>~₽1 500</t>
        </is>
      </c>
      <c r="C71" s="16" t="inlineStr">
        <is>
          <t>~₽4 200</t>
        </is>
      </c>
      <c r="D71" s="16" t="inlineStr">
        <is>
          <t>64%</t>
        </is>
      </c>
    </row>
    <row r="72" ht="30" customHeight="1">
      <c r="A72" s="17" t="inlineStr">
        <is>
          <t>Только DeepSeek V3 (агрессивно)</t>
        </is>
      </c>
      <c r="B72" s="17" t="inlineStr">
        <is>
          <t>~₽175</t>
        </is>
      </c>
      <c r="C72" s="17" t="inlineStr">
        <is>
          <t>~₽490</t>
        </is>
      </c>
      <c r="D72" s="17" t="inlineStr">
        <is>
          <t>64%</t>
        </is>
      </c>
    </row>
    <row r="73" ht="30" customHeight="1">
      <c r="A73" s="16" t="inlineStr">
        <is>
          <t>Наш mix (DeepSeek-доминантный)</t>
        </is>
      </c>
      <c r="B73" s="16" t="inlineStr">
        <is>
          <t>~₽1 480</t>
        </is>
      </c>
      <c r="C73" s="16" t="inlineStr">
        <is>
          <t>~₽4 145</t>
        </is>
      </c>
      <c r="D73" s="16" t="inlineStr">
        <is>
          <t>64%</t>
        </is>
      </c>
    </row>
    <row r="74" ht="30" customHeight="1">
      <c r="A74" s="17" t="inlineStr">
        <is>
          <t>Наш mix + кеш + Qwen self-hosted</t>
        </is>
      </c>
      <c r="B74" s="17" t="inlineStr">
        <is>
          <t>~₽950</t>
        </is>
      </c>
      <c r="C74" s="17" t="inlineStr">
        <is>
          <t>~₽4 145</t>
        </is>
      </c>
      <c r="D74" s="17" t="inlineStr">
        <is>
          <t>77%</t>
        </is>
      </c>
    </row>
    <row r="77">
      <c r="A77" s="3" t="inlineStr">
        <is>
          <t>БЕЗОПАСНОСТЬ AUTO-DEPLOY (критичный компонент)</t>
        </is>
      </c>
    </row>
    <row r="78">
      <c r="A78" s="15" t="inlineStr">
        <is>
          <t>Угроза</t>
        </is>
      </c>
      <c r="B78" s="15" t="inlineStr">
        <is>
          <t>Митигация</t>
        </is>
      </c>
      <c r="C78" s="15" t="inlineStr">
        <is>
          <t>Где реализуем</t>
        </is>
      </c>
    </row>
    <row r="79" ht="50" customHeight="1">
      <c r="A79" s="16" t="inlineStr">
        <is>
          <t>AI выполняет деструктивную операцию (DROP TABLE, rm -rf)</t>
        </is>
      </c>
      <c r="B79" s="16" t="inlineStr">
        <is>
          <t>Whitelist-команды для AI-агента; деструктивные = подтверждение пользователя в UI</t>
        </is>
      </c>
      <c r="C79" s="16" t="inlineStr">
        <is>
          <t>Backend: command-classifier перед exec</t>
        </is>
      </c>
    </row>
    <row r="80" ht="50" customHeight="1">
      <c r="A80" s="17" t="inlineStr">
        <is>
          <t>Атака на чужой проект через инжекцию в промпт</t>
        </is>
      </c>
      <c r="B80" s="17" t="inlineStr">
        <is>
          <t>Изоляция namespace на уровне хранилища + проверка токена JWT на каждый снапшот</t>
        </is>
      </c>
      <c r="C80" s="17" t="inlineStr">
        <is>
          <t>API gateway + RBAC</t>
        </is>
      </c>
    </row>
    <row r="81" ht="50" customHeight="1">
      <c r="A81" s="16" t="inlineStr">
        <is>
          <t>Атака на наш сервер через сгенерированный код</t>
        </is>
      </c>
      <c r="B81" s="16" t="inlineStr">
        <is>
          <t>Sandbox для исполнения: Docker с no-network для непроверенных проектов, scope-limited для пользовательских</t>
        </is>
      </c>
      <c r="C81" s="16" t="inlineStr">
        <is>
          <t>Auto-deploy агент</t>
        </is>
      </c>
    </row>
    <row r="82" ht="50" customHeight="1">
      <c r="A82" s="17" t="inlineStr">
        <is>
          <t>Утечка данных одного клиента в другой</t>
        </is>
      </c>
      <c r="B82" s="17" t="inlineStr">
        <is>
          <t>Раздельные namespaces в MinIO, раздельные базы Postgres-схемы или раздельные базы для Enterprise</t>
        </is>
      </c>
      <c r="C82" s="17" t="inlineStr">
        <is>
          <t>Object Storage + DB layer</t>
        </is>
      </c>
    </row>
    <row r="83" ht="50" customHeight="1">
      <c r="A83" s="16" t="inlineStr">
        <is>
          <t>Перехват LLM-запросов / data leak в логи</t>
        </is>
      </c>
      <c r="B83" s="16" t="inlineStr">
        <is>
          <t>Шифрование at-rest, маскирование PII в логах, опция "не логировать промпты" для Pro/Enterprise</t>
        </is>
      </c>
      <c r="C83" s="16" t="inlineStr">
        <is>
          <t>LLM-proxy + logging policy</t>
        </is>
      </c>
    </row>
    <row r="84" ht="50" customHeight="1">
      <c r="A84" s="17" t="inlineStr">
        <is>
          <t>Уязвимости в auto-generated коде клиента</t>
        </is>
      </c>
      <c r="B84" s="17" t="inlineStr">
        <is>
          <t>Default-secure шаблоны (CSP, sanitize input). Проверка генерированного кода на типичные XSS/SQLi</t>
        </is>
      </c>
      <c r="C84" s="17" t="inlineStr">
        <is>
          <t>AI-агент + linting</t>
        </is>
      </c>
    </row>
    <row r="85" ht="50" customHeight="1">
      <c r="A85" s="16" t="inlineStr">
        <is>
          <t>Атака на DNS / SSL-перевыпуск</t>
        </is>
      </c>
      <c r="B85" s="16" t="inlineStr">
        <is>
          <t>API регистратора с привязкой к нашему IP, мониторинг SSL-renewal</t>
        </is>
      </c>
      <c r="C85" s="16" t="inlineStr">
        <is>
          <t>DNS layer</t>
        </is>
      </c>
    </row>
    <row r="88">
      <c r="A88" s="3" t="inlineStr">
        <is>
          <t>GITHUB-СИНК (opt-in, не нарушает "всё на платформе")</t>
        </is>
      </c>
    </row>
    <row r="89" ht="90" customHeight="1">
      <c r="A89" s="11" t="inlineStr">
        <is>
          <t>Default: хранение версий ТОЛЬКО у нас. 95% клиентов даже не знают, что под капотом git.
Opt-in для продвинутых: подключить свой GitHub-репозиторий → мы дополнительно pushим туда снапшоты. Это backup для клиента + дверь для разработчиков (можно работать локально в Cursor, потом push к нам).
Источник правды остаётся НАШ git. GitHub — копия. Реализация: добавить второй git remote, push после каждого commit (2-3 дня работы). Маркетинговый аргумент против vendor lock-in без потери vertical integration.</t>
        </is>
      </c>
    </row>
  </sheetData>
  <mergeCells count="9">
    <mergeCell ref="A67:D67"/>
    <mergeCell ref="A89:D89"/>
    <mergeCell ref="A77:D77"/>
    <mergeCell ref="A88:D88"/>
    <mergeCell ref="A4:D4"/>
    <mergeCell ref="A39:D39"/>
    <mergeCell ref="A25:D25"/>
    <mergeCell ref="A57:D57"/>
    <mergeCell ref="A16:D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50" customWidth="1" min="4" max="4"/>
    <col width="5" customWidth="1" min="5" max="5"/>
    <col width="5" customWidth="1" min="6" max="6"/>
  </cols>
  <sheetData>
    <row r="1">
      <c r="A1" s="58" t="inlineStr">
        <is>
          <t>Omnia.AI — 18. Bootstrap-план (v2, новая 5-tier модель)</t>
        </is>
      </c>
    </row>
    <row r="2" ht="50" customHeight="1">
      <c r="A2" s="75" t="inlineStr">
        <is>
          <t>Старт с 30 000 ₽ (хостинг + API). Break-even MRR ожидаем на M11-M12. Free funnel радикально снижает CAC.</t>
        </is>
      </c>
    </row>
    <row r="4">
      <c r="A4" s="65" t="inlineStr">
        <is>
          <t>БЛОК 1. Стартовый капитал</t>
        </is>
      </c>
    </row>
    <row r="5">
      <c r="A5" s="61" t="inlineStr">
        <is>
          <t>Хостинг dev-сервера (SafeCloud S)</t>
        </is>
      </c>
      <c r="B5" s="66" t="inlineStr">
        <is>
          <t>3 000 ₽</t>
        </is>
      </c>
    </row>
    <row r="6">
      <c r="A6" s="61" t="inlineStr">
        <is>
          <t>Домен omnia.ai (на год)</t>
        </is>
      </c>
      <c r="B6" s="66" t="inlineStr">
        <is>
          <t>2 000 ₽</t>
        </is>
      </c>
    </row>
    <row r="7">
      <c r="A7" s="61" t="inlineStr">
        <is>
          <t>API-ключи LLM (DeepSeek + Haiku, 2 мес запас)</t>
        </is>
      </c>
      <c r="B7" s="66" t="inlineStr">
        <is>
          <t>10 000 ₽</t>
        </is>
      </c>
    </row>
    <row r="8">
      <c r="A8" s="61" t="inlineStr">
        <is>
          <t>Dev-инфра (GitHub Pro, Figma, Notion)</t>
        </is>
      </c>
      <c r="B8" s="66" t="inlineStr">
        <is>
          <t>5 000 ₽</t>
        </is>
      </c>
    </row>
    <row r="9">
      <c r="A9" s="61" t="inlineStr">
        <is>
          <t>Резерв</t>
        </is>
      </c>
      <c r="B9" s="66" t="inlineStr">
        <is>
          <t>10 000 ₽</t>
        </is>
      </c>
    </row>
    <row r="10">
      <c r="A10" s="61" t="inlineStr">
        <is>
          <t>ИТОГО</t>
        </is>
      </c>
      <c r="B10" s="66" t="inlineStr">
        <is>
          <t>30 000 ₽</t>
        </is>
      </c>
    </row>
    <row r="11">
      <c r="A11" s="61" t="inlineStr"/>
      <c r="B11" s="66" t="inlineStr"/>
    </row>
    <row r="12">
      <c r="A12" s="65" t="inlineStr">
        <is>
          <t>БЛОК 2. Runway без выручки</t>
        </is>
      </c>
    </row>
    <row r="13">
      <c r="A13" s="61" t="inlineStr">
        <is>
          <t>M1-M3: 0₽ зарплаты, только инфра</t>
        </is>
      </c>
      <c r="B13" s="66" t="inlineStr">
        <is>
          <t>Burn ~5 000 ₽/мес. Учредители живут на текущий доход.</t>
        </is>
      </c>
    </row>
    <row r="14">
      <c r="A14" s="61" t="inlineStr">
        <is>
          <t>M4-M6: запуск Free + Lite</t>
        </is>
      </c>
      <c r="B14" s="66" t="inlineStr">
        <is>
          <t>Burn ~80 000 ₽/мес (маркетинг). Первая выручка к M5-M6.</t>
        </is>
      </c>
    </row>
    <row r="15">
      <c r="A15" s="61" t="inlineStr">
        <is>
          <t>M7-M9: Starter ramp</t>
        </is>
      </c>
      <c r="B15" s="66" t="inlineStr">
        <is>
          <t>Burn ~150 000 ₽/мес. Ожидаем MRR 200-400к.</t>
        </is>
      </c>
    </row>
    <row r="16">
      <c r="A16" s="61" t="inlineStr">
        <is>
          <t>M10-M11: Pro launch</t>
        </is>
      </c>
      <c r="B16" s="66" t="inlineStr">
        <is>
          <t>Burn ~580 000 ₽/мес (FOT 280к + mkt 200к + рост маркетинга). Ожидаем MRR 1M+.</t>
        </is>
      </c>
    </row>
    <row r="17">
      <c r="A17" s="61" t="inlineStr">
        <is>
          <t>M12+: Break-even</t>
        </is>
      </c>
      <c r="B17" s="66" t="inlineStr">
        <is>
          <t>MRR покрывает OPEX и начинает накапливать.</t>
        </is>
      </c>
    </row>
    <row r="18">
      <c r="A18" s="61" t="inlineStr"/>
      <c r="B18" s="66" t="inlineStr"/>
    </row>
    <row r="19">
      <c r="A19" s="65" t="inlineStr">
        <is>
          <t>БЛОК 3. Killer-ходы (расширены)</t>
        </is>
      </c>
    </row>
    <row r="20">
      <c r="A20" s="61" t="inlineStr">
        <is>
          <t>1. Pre-sales annual Lite со скидкой 50%</t>
        </is>
      </c>
      <c r="B20" s="66" t="inlineStr">
        <is>
          <t>5 940 ₽ × 100 = 594 000 ₽ кэша к M3 + валидация рынка ДО кода.</t>
        </is>
      </c>
    </row>
    <row r="21">
      <c r="A21" s="61" t="inlineStr">
        <is>
          <t>2. Free trial как acquisition-engine</t>
        </is>
      </c>
      <c r="B21" s="66" t="inlineStr">
        <is>
          <t>10 000 Free → 1 200 платных к M9 при 12% conversion.</t>
        </is>
      </c>
    </row>
    <row r="22">
      <c r="A22" s="61" t="inlineStr">
        <is>
          <t>3. Промто-перехват в Я.Директ</t>
        </is>
      </c>
      <c r="B22" s="66" t="inlineStr">
        <is>
          <t>Кеи «промто альтернатива/promto vs/конструктор с откатом» = +30% воронки на старте.</t>
        </is>
      </c>
    </row>
    <row r="23">
      <c r="A23" s="61" t="inlineStr">
        <is>
          <t>4. Свои проекты как первые кейсы</t>
        </is>
      </c>
      <c r="B23" s="66" t="inlineStr">
        <is>
          <t>Артём перенесёт kanavto + kuzovnsk + klining-24 — реальные сайты с трафиком.</t>
        </is>
      </c>
    </row>
    <row r="24">
      <c r="A24" s="61" t="inlineStr">
        <is>
          <t>5. Telegram-сообщество AI-сайтострой РФ</t>
        </is>
      </c>
      <c r="B24" s="66" t="inlineStr">
        <is>
          <t>2 000 подписчиков к M6, 10 000 к M12. 2-4% конверсия = 200-400 платных.</t>
        </is>
      </c>
    </row>
    <row r="25">
      <c r="A25" s="61" t="inlineStr">
        <is>
          <t>6. B2B2C партнёрки 30% revenue-share</t>
        </is>
      </c>
      <c r="B25" s="66" t="inlineStr">
        <is>
          <t>5 партнёров × 5 клиентов/мес = 25 платных при нулевом CAC.</t>
        </is>
      </c>
    </row>
    <row r="26">
      <c r="A26" s="61" t="inlineStr">
        <is>
          <t>7. Outsourcing арбитраж кастом-разработки</t>
        </is>
      </c>
      <c r="B26" s="66" t="inlineStr">
        <is>
          <t>Pro/Ent заказывают 4-5к/час, мы платим студентам 1-1.5к. Маржа 70%.</t>
        </is>
      </c>
    </row>
    <row r="27">
      <c r="A27" s="61" t="inlineStr">
        <is>
          <t>8. Open-source LLM-роутер (бренд через DEV-комьюнити)</t>
        </is>
      </c>
      <c r="B27" s="66" t="inlineStr">
        <is>
          <t>Stars → traffic → клиенты. Эффект Lovable/Cursor.</t>
        </is>
      </c>
    </row>
    <row r="28">
      <c r="A28" s="61" t="inlineStr"/>
      <c r="B28" s="66" t="inlineStr"/>
    </row>
    <row r="29">
      <c r="A29" s="65" t="inlineStr">
        <is>
          <t>БЛОК 4. Точка безубыточности (новая)</t>
        </is>
      </c>
    </row>
    <row r="30">
      <c r="A30" s="61" t="inlineStr">
        <is>
          <t>OPEX в стабильном состоянии (M12+), ₽/мес</t>
        </is>
      </c>
      <c r="B30" s="66" t="inlineStr">
        <is>
          <t>≈ 3 500 000</t>
        </is>
      </c>
    </row>
    <row r="31">
      <c r="A31" s="61" t="inlineStr">
        <is>
          <t>ARPU средневзв. (зрелое M15+), ₽/мес</t>
        </is>
      </c>
      <c r="B31" s="66" t="inlineStr">
        <is>
          <t>≈ 4 080</t>
        </is>
      </c>
    </row>
    <row r="32">
      <c r="A32" s="61" t="inlineStr">
        <is>
          <t>Break-even платящих</t>
        </is>
      </c>
      <c r="B32" s="66" t="inlineStr">
        <is>
          <t>≈ 858</t>
        </is>
      </c>
    </row>
    <row r="33">
      <c r="A33" s="61" t="inlineStr">
        <is>
          <t>Целевой объём платящих к M18</t>
        </is>
      </c>
      <c r="B33" s="66" t="inlineStr">
        <is>
          <t>1 500+ → MRR 6.1М ₽ → ARR 73М ₽</t>
        </is>
      </c>
    </row>
    <row r="34">
      <c r="A34" s="61" t="inlineStr"/>
      <c r="B34" s="66" t="inlineStr"/>
    </row>
    <row r="35">
      <c r="A35" s="65" t="inlineStr">
        <is>
          <t>БЛОК 5. Когда брать ангела (если)</t>
        </is>
      </c>
    </row>
    <row r="36">
      <c r="A36" s="61" t="inlineStr">
        <is>
          <t>Условие 1: MRR ≥ 1М ₽ к M14-M15</t>
        </is>
      </c>
      <c r="B36" s="66" t="inlineStr">
        <is>
          <t>PMF подтверждён цифрами</t>
        </is>
      </c>
    </row>
    <row r="37">
      <c r="A37" s="61" t="inlineStr">
        <is>
          <t>Условие 2: органический рост упёрся в потолок</t>
        </is>
      </c>
      <c r="B37" s="66" t="inlineStr">
        <is>
          <t>CAC растёт, нужен бренд + платная реклама</t>
        </is>
      </c>
    </row>
    <row r="38">
      <c r="A38" s="61" t="inlineStr">
        <is>
          <t>Условие 3: гипотеза «5-10М ₽ ангел = 2.5x growth»</t>
        </is>
      </c>
      <c r="B38" s="66" t="inlineStr">
        <is>
          <t>Конкретный план как использовать капитал</t>
        </is>
      </c>
    </row>
    <row r="39">
      <c r="A39" s="61" t="inlineStr">
        <is>
          <t>Сумма / доля</t>
        </is>
      </c>
      <c r="B39" s="66" t="inlineStr">
        <is>
          <t>5-10М ₽ за 10-12% (оценка post-money 50-80М)</t>
        </is>
      </c>
    </row>
    <row r="40">
      <c r="A40" s="61" t="inlineStr">
        <is>
          <t>Без drag-along, advisory-share-tax, борд-сита</t>
        </is>
      </c>
      <c r="B40" s="66" t="inlineStr">
        <is>
          <t>Только инвестиция, без операционного контроля</t>
        </is>
      </c>
    </row>
    <row r="43" ht="240" customHeight="1"/>
    <row r="54" ht="280" customHeight="1"/>
  </sheetData>
  <mergeCells count="9">
    <mergeCell ref="A33:F33"/>
    <mergeCell ref="A54:F54"/>
    <mergeCell ref="A42:F42"/>
    <mergeCell ref="A14:F14"/>
    <mergeCell ref="A45:F45"/>
    <mergeCell ref="A22:F22"/>
    <mergeCell ref="A4:F4"/>
    <mergeCell ref="A53:F53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2026-05-04T21:37:58Z</dcterms:created>
  <dcterms:modified xsi:type="dcterms:W3CDTF">2026-05-05T16:55:19Z</dcterms:modified>
</cp:coreProperties>
</file>